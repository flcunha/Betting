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lip\Desktop\Bets\"/>
    </mc:Choice>
  </mc:AlternateContent>
  <xr:revisionPtr revIDLastSave="0" documentId="13_ncr:1_{36C7EAC1-9250-4790-9A24-933C0F47F7AC}" xr6:coauthVersionLast="47" xr6:coauthVersionMax="47" xr10:uidLastSave="{00000000-0000-0000-0000-000000000000}"/>
  <bookViews>
    <workbookView xWindow="-110" yWindow="-110" windowWidth="38620" windowHeight="21220" xr2:uid="{00000000-000D-0000-FFFF-FFFF00000000}"/>
  </bookViews>
  <sheets>
    <sheet name="Sheet1" sheetId="1" r:id="rId1"/>
  </sheets>
  <definedNames>
    <definedName name="_xlnm._FilterDatabase" localSheetId="0" hidden="1">Sheet1!$A$1:$BQ$500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R493" i="1" l="1"/>
  <c r="BR492" i="1"/>
  <c r="BR491" i="1"/>
  <c r="BR490" i="1"/>
  <c r="BR489" i="1"/>
  <c r="BR488" i="1"/>
  <c r="BR487" i="1"/>
  <c r="BR486" i="1"/>
  <c r="BR485" i="1"/>
  <c r="BR484" i="1"/>
  <c r="BR483" i="1"/>
  <c r="BR482" i="1"/>
  <c r="BR481" i="1"/>
  <c r="BR480" i="1"/>
  <c r="BR479" i="1"/>
  <c r="BR478" i="1"/>
  <c r="BR477" i="1"/>
  <c r="BR476" i="1"/>
  <c r="BR475" i="1"/>
  <c r="BR474" i="1"/>
  <c r="BR473" i="1"/>
  <c r="BR472" i="1"/>
  <c r="BR471" i="1"/>
  <c r="BR470" i="1"/>
  <c r="BR469" i="1"/>
  <c r="BR468" i="1"/>
  <c r="BR467" i="1"/>
  <c r="BR466" i="1"/>
  <c r="BR465" i="1"/>
  <c r="BR464" i="1"/>
  <c r="BR463" i="1"/>
  <c r="BR462" i="1"/>
  <c r="BR461" i="1"/>
  <c r="BR460" i="1"/>
  <c r="BR459" i="1"/>
  <c r="BR458" i="1"/>
  <c r="BR457" i="1"/>
  <c r="BR456" i="1"/>
  <c r="BR455" i="1"/>
  <c r="BR454" i="1"/>
  <c r="BR453" i="1"/>
  <c r="BR452" i="1"/>
  <c r="BR451" i="1"/>
  <c r="BR450" i="1"/>
  <c r="BR449" i="1"/>
  <c r="BR448" i="1"/>
  <c r="BR447" i="1"/>
  <c r="BR446" i="1"/>
  <c r="BR445" i="1"/>
  <c r="BR444" i="1"/>
  <c r="BR443" i="1"/>
  <c r="BR442" i="1"/>
  <c r="BR441" i="1"/>
  <c r="BR440" i="1"/>
  <c r="BR439" i="1"/>
  <c r="BR438" i="1"/>
  <c r="BR437" i="1"/>
  <c r="BR436" i="1"/>
  <c r="BR435" i="1"/>
  <c r="BR434" i="1"/>
  <c r="BR433" i="1"/>
  <c r="BR432" i="1"/>
  <c r="BR431" i="1"/>
  <c r="BR430" i="1"/>
  <c r="BR429" i="1"/>
  <c r="BR428" i="1"/>
  <c r="BR427" i="1"/>
  <c r="BR426" i="1"/>
  <c r="BR425" i="1"/>
  <c r="BR424" i="1"/>
  <c r="BR423" i="1"/>
  <c r="BR422" i="1"/>
  <c r="BR421" i="1"/>
  <c r="BR420" i="1"/>
  <c r="BR419" i="1"/>
  <c r="BR418" i="1"/>
  <c r="BR417" i="1"/>
  <c r="BR416" i="1"/>
  <c r="BR415" i="1"/>
  <c r="BR414" i="1"/>
  <c r="BR413" i="1"/>
  <c r="BR412" i="1"/>
  <c r="BR411" i="1"/>
  <c r="BR410" i="1"/>
  <c r="BR409" i="1"/>
  <c r="BR408" i="1"/>
  <c r="BR407" i="1"/>
  <c r="BR406" i="1"/>
  <c r="BR405" i="1"/>
  <c r="BR404" i="1"/>
  <c r="BR403" i="1"/>
  <c r="BR402" i="1"/>
  <c r="BR401" i="1"/>
  <c r="BR400" i="1"/>
  <c r="BR399" i="1"/>
  <c r="BR398" i="1"/>
  <c r="BR397" i="1"/>
  <c r="BR396" i="1"/>
  <c r="BR395" i="1"/>
  <c r="BR394" i="1"/>
  <c r="BR393" i="1"/>
  <c r="BR392" i="1"/>
  <c r="BR391" i="1"/>
  <c r="BR390" i="1"/>
  <c r="BR389" i="1"/>
  <c r="BR388" i="1"/>
  <c r="BR387" i="1"/>
  <c r="BR386" i="1"/>
  <c r="BR385" i="1"/>
  <c r="BR384" i="1"/>
  <c r="BR383" i="1"/>
  <c r="BR382" i="1"/>
  <c r="BR381" i="1"/>
  <c r="BR380" i="1"/>
  <c r="BR379" i="1"/>
  <c r="BR378" i="1"/>
  <c r="BR377" i="1"/>
  <c r="BR376" i="1"/>
  <c r="BR375" i="1"/>
  <c r="BR374" i="1"/>
  <c r="BR373" i="1"/>
  <c r="BR372" i="1"/>
  <c r="BR371" i="1"/>
  <c r="BR370" i="1"/>
  <c r="BR369" i="1"/>
  <c r="BR368" i="1"/>
  <c r="BR367" i="1"/>
  <c r="BR366" i="1"/>
  <c r="BR365" i="1"/>
  <c r="BR364" i="1"/>
  <c r="BR363" i="1"/>
  <c r="BR362" i="1"/>
  <c r="BR361" i="1"/>
  <c r="BR360" i="1"/>
  <c r="BR359" i="1"/>
  <c r="BR358" i="1"/>
  <c r="BR357" i="1"/>
  <c r="BR356" i="1"/>
  <c r="BR355" i="1"/>
  <c r="BR354" i="1"/>
  <c r="BR353" i="1"/>
  <c r="BR352" i="1"/>
  <c r="BR351" i="1"/>
  <c r="BR350" i="1"/>
  <c r="BR349" i="1"/>
  <c r="BR348" i="1"/>
  <c r="BR347" i="1"/>
  <c r="BR346" i="1"/>
  <c r="BR345" i="1"/>
  <c r="BR344" i="1"/>
  <c r="BR343" i="1"/>
  <c r="BR342" i="1"/>
  <c r="BR341" i="1"/>
  <c r="BR340" i="1"/>
  <c r="BR339" i="1"/>
  <c r="BR338" i="1"/>
  <c r="BR337" i="1"/>
  <c r="BR336" i="1"/>
  <c r="BR335" i="1"/>
  <c r="BR334" i="1"/>
  <c r="BR333" i="1"/>
  <c r="BR332" i="1"/>
  <c r="BR331" i="1"/>
  <c r="BR330" i="1"/>
  <c r="BR329" i="1"/>
  <c r="BR328" i="1"/>
  <c r="BR327" i="1"/>
  <c r="BR326" i="1"/>
  <c r="BR325" i="1"/>
  <c r="BR324" i="1"/>
  <c r="BR323" i="1"/>
  <c r="BR322" i="1"/>
  <c r="BR321" i="1"/>
  <c r="BR320" i="1"/>
  <c r="BR319" i="1"/>
  <c r="BR318" i="1"/>
  <c r="BR317" i="1"/>
  <c r="BR316" i="1"/>
  <c r="BR315" i="1"/>
  <c r="BR314" i="1"/>
  <c r="BR313" i="1"/>
  <c r="BR312" i="1"/>
  <c r="BR311" i="1"/>
  <c r="BR310" i="1"/>
  <c r="BR309" i="1"/>
  <c r="BR308" i="1"/>
  <c r="BR307" i="1"/>
  <c r="BR306" i="1"/>
  <c r="BR305" i="1"/>
  <c r="BR304" i="1"/>
  <c r="BR303" i="1"/>
  <c r="BR302" i="1"/>
  <c r="BR301" i="1"/>
  <c r="BR300" i="1"/>
  <c r="BR299" i="1"/>
  <c r="BR298" i="1"/>
  <c r="BR297" i="1"/>
  <c r="BR296" i="1"/>
  <c r="BR295" i="1"/>
  <c r="BR294" i="1"/>
  <c r="BR293" i="1"/>
  <c r="BR292" i="1"/>
  <c r="BR291" i="1"/>
  <c r="BR290" i="1"/>
  <c r="BR289" i="1"/>
  <c r="BR288" i="1"/>
  <c r="BR287" i="1"/>
  <c r="BR286" i="1"/>
  <c r="BR285" i="1"/>
  <c r="BR284" i="1"/>
  <c r="BR283" i="1"/>
  <c r="BR282" i="1"/>
  <c r="BR281" i="1"/>
  <c r="BR280" i="1"/>
  <c r="BR279" i="1"/>
  <c r="BR278" i="1"/>
  <c r="BR277" i="1"/>
  <c r="BR276" i="1"/>
  <c r="BR275" i="1"/>
  <c r="BR274" i="1"/>
  <c r="BR273" i="1"/>
  <c r="BR272" i="1"/>
  <c r="BR271" i="1"/>
  <c r="BR270" i="1"/>
  <c r="BR269" i="1"/>
  <c r="BR268" i="1"/>
  <c r="BR267" i="1"/>
  <c r="BR266" i="1"/>
  <c r="BR265" i="1"/>
  <c r="BR264" i="1"/>
  <c r="BR263" i="1"/>
  <c r="BR262" i="1"/>
  <c r="BR261" i="1"/>
  <c r="BR260" i="1"/>
  <c r="BR259" i="1"/>
  <c r="BR258" i="1"/>
  <c r="BR257" i="1"/>
  <c r="BR256" i="1"/>
  <c r="BR255" i="1"/>
  <c r="BR254" i="1"/>
  <c r="BR253" i="1"/>
  <c r="BR252" i="1"/>
  <c r="BR251" i="1"/>
  <c r="BR250" i="1"/>
  <c r="BR249" i="1"/>
  <c r="BR248" i="1"/>
  <c r="BR247" i="1"/>
  <c r="BR246" i="1"/>
  <c r="BR245" i="1"/>
  <c r="BR244" i="1"/>
  <c r="BR243" i="1"/>
  <c r="BR242" i="1"/>
  <c r="BR241" i="1"/>
  <c r="BR240" i="1"/>
  <c r="BR239" i="1"/>
  <c r="BR238" i="1"/>
  <c r="BR237" i="1"/>
  <c r="BR236" i="1"/>
  <c r="BR235" i="1"/>
  <c r="BR234" i="1"/>
  <c r="BR233" i="1"/>
  <c r="BR232" i="1"/>
  <c r="BR231" i="1"/>
  <c r="BR230" i="1"/>
  <c r="BR229" i="1"/>
  <c r="BR228" i="1"/>
  <c r="BR227" i="1"/>
  <c r="BR226" i="1"/>
  <c r="BR225" i="1"/>
  <c r="BR224" i="1"/>
  <c r="BR223" i="1"/>
  <c r="BR222" i="1"/>
  <c r="BR221" i="1"/>
  <c r="BR220" i="1"/>
  <c r="BR219" i="1"/>
  <c r="BR218" i="1"/>
  <c r="BR217" i="1"/>
  <c r="BR216" i="1"/>
  <c r="BR215" i="1"/>
  <c r="BR214" i="1"/>
  <c r="BR213" i="1"/>
  <c r="BR212" i="1"/>
  <c r="BR211" i="1"/>
  <c r="BR210" i="1"/>
  <c r="BR209" i="1"/>
  <c r="BR208" i="1"/>
  <c r="BR207" i="1"/>
  <c r="BR206" i="1"/>
  <c r="BR205" i="1"/>
  <c r="BR204" i="1"/>
  <c r="BR203" i="1"/>
  <c r="BR202" i="1"/>
  <c r="BR201" i="1"/>
  <c r="BR200" i="1"/>
  <c r="BR199" i="1"/>
  <c r="BR198" i="1"/>
  <c r="BR197" i="1"/>
  <c r="BR196" i="1"/>
  <c r="BR195" i="1"/>
  <c r="BR194" i="1"/>
  <c r="BR193" i="1"/>
  <c r="BR192" i="1"/>
  <c r="BR191" i="1"/>
  <c r="BR190" i="1"/>
  <c r="BR189" i="1"/>
  <c r="BR188" i="1"/>
  <c r="BR187" i="1"/>
  <c r="BR186" i="1"/>
  <c r="BR185" i="1"/>
  <c r="BR184" i="1"/>
  <c r="BR183" i="1"/>
  <c r="BR182" i="1"/>
  <c r="BR181" i="1"/>
  <c r="BR180" i="1"/>
  <c r="BR179" i="1"/>
  <c r="BR178" i="1"/>
  <c r="BR177" i="1"/>
  <c r="BR176" i="1"/>
  <c r="BR175" i="1"/>
  <c r="BR174" i="1"/>
  <c r="BR173" i="1"/>
  <c r="BR172" i="1"/>
  <c r="BR171" i="1"/>
  <c r="BR170" i="1"/>
  <c r="BR169" i="1"/>
  <c r="BR168" i="1"/>
  <c r="BR167" i="1"/>
  <c r="BR166" i="1"/>
  <c r="BR165" i="1"/>
  <c r="BR164" i="1"/>
  <c r="BR163" i="1"/>
  <c r="BR162" i="1"/>
  <c r="BR161" i="1"/>
  <c r="BR160" i="1"/>
  <c r="BR159" i="1"/>
  <c r="BR158" i="1"/>
  <c r="BR157" i="1"/>
  <c r="BR156" i="1"/>
  <c r="BR155" i="1"/>
  <c r="BR154" i="1"/>
  <c r="BR153" i="1"/>
  <c r="BR152" i="1"/>
  <c r="BR151" i="1"/>
  <c r="BR150" i="1"/>
  <c r="BR149" i="1"/>
  <c r="BR148" i="1"/>
  <c r="BR147" i="1"/>
  <c r="BR146" i="1"/>
  <c r="BR145" i="1"/>
  <c r="BR144" i="1"/>
  <c r="BR143" i="1"/>
  <c r="BR142" i="1"/>
  <c r="BR141" i="1"/>
  <c r="BR140" i="1"/>
  <c r="BR139" i="1"/>
  <c r="BR27" i="1"/>
  <c r="BR80" i="1"/>
  <c r="BR37" i="1"/>
  <c r="BR88" i="1"/>
  <c r="BR9" i="1"/>
  <c r="BR116" i="1"/>
  <c r="BR125" i="1"/>
  <c r="BR39" i="1"/>
  <c r="BR126" i="1"/>
  <c r="BR121" i="1"/>
  <c r="BR107" i="1"/>
  <c r="BR127" i="1"/>
  <c r="BR13" i="1"/>
  <c r="BR15" i="1"/>
  <c r="BR41" i="1"/>
  <c r="BR87" i="1"/>
  <c r="BR83" i="1"/>
  <c r="BR77" i="1"/>
  <c r="BR19" i="1"/>
  <c r="BR132" i="1"/>
  <c r="BR130" i="1"/>
  <c r="BR128" i="1"/>
  <c r="BR110" i="1"/>
  <c r="BR7" i="1"/>
  <c r="BR56" i="1"/>
  <c r="BR38" i="1"/>
  <c r="BR131" i="1"/>
  <c r="BR112" i="1"/>
  <c r="BR64" i="1"/>
  <c r="BR123" i="1"/>
  <c r="BR30" i="1"/>
  <c r="BR129" i="1"/>
  <c r="BR115" i="1"/>
  <c r="BR2" i="1"/>
  <c r="BR94" i="1"/>
  <c r="BR137" i="1"/>
  <c r="BR98" i="1"/>
  <c r="BR23" i="1"/>
  <c r="BR33" i="1"/>
  <c r="BR34" i="1"/>
  <c r="BR31" i="1"/>
  <c r="BR58" i="1"/>
  <c r="BR82" i="1"/>
  <c r="BR91" i="1"/>
  <c r="BR48" i="1"/>
  <c r="BR6" i="1"/>
  <c r="BR92" i="1"/>
  <c r="BR133" i="1"/>
  <c r="BR74" i="1"/>
  <c r="BR24" i="1"/>
  <c r="BR73" i="1"/>
  <c r="BR44" i="1"/>
  <c r="BR124" i="1"/>
  <c r="BR134" i="1"/>
  <c r="BR68" i="1"/>
  <c r="BR99" i="1"/>
  <c r="BR111" i="1"/>
  <c r="BR90" i="1"/>
  <c r="BR113" i="1"/>
  <c r="BR118" i="1"/>
  <c r="BR12" i="1"/>
  <c r="BR28" i="1"/>
  <c r="BR59" i="1"/>
  <c r="BR138" i="1"/>
  <c r="BR97" i="1"/>
  <c r="BR93" i="1"/>
  <c r="BR20" i="1"/>
  <c r="BR66" i="1"/>
  <c r="BR46" i="1"/>
  <c r="BR76" i="1"/>
  <c r="BR18" i="1"/>
  <c r="BR75" i="1"/>
  <c r="BR109" i="1"/>
  <c r="BR70" i="1"/>
  <c r="BR114" i="1"/>
  <c r="BR32" i="1"/>
  <c r="BR117" i="1"/>
  <c r="BR108" i="1"/>
  <c r="BR40" i="1"/>
  <c r="BR45" i="1"/>
  <c r="BR62" i="1"/>
  <c r="BR16" i="1"/>
  <c r="BR79" i="1"/>
  <c r="BR100" i="1"/>
  <c r="BR36" i="1"/>
  <c r="BR63" i="1"/>
  <c r="BR122" i="1"/>
  <c r="BR26" i="1"/>
  <c r="BR17" i="1"/>
  <c r="BR119" i="1"/>
  <c r="BR135" i="1"/>
  <c r="BR50" i="1"/>
  <c r="BR95" i="1"/>
  <c r="BR35" i="1"/>
  <c r="BR3" i="1"/>
  <c r="BR54" i="1"/>
  <c r="BR57" i="1"/>
  <c r="BR78" i="1"/>
  <c r="BR5" i="1"/>
  <c r="BR104" i="1"/>
  <c r="BR67" i="1"/>
  <c r="BR136" i="1"/>
  <c r="BR106" i="1"/>
  <c r="BR60" i="1"/>
  <c r="BR52" i="1"/>
  <c r="BR47" i="1"/>
  <c r="BR102" i="1"/>
  <c r="BR103" i="1"/>
  <c r="BR4" i="1"/>
  <c r="BR86" i="1"/>
  <c r="BR105" i="1"/>
  <c r="BR53" i="1"/>
  <c r="BR85" i="1"/>
  <c r="BR120" i="1"/>
  <c r="BR96" i="1"/>
  <c r="BR11" i="1"/>
  <c r="BR29" i="1"/>
  <c r="BR61" i="1"/>
  <c r="BR51" i="1"/>
  <c r="BR22" i="1"/>
  <c r="BR101" i="1"/>
  <c r="BR72" i="1"/>
  <c r="BR42" i="1"/>
  <c r="BR81" i="1"/>
  <c r="BR14" i="1"/>
  <c r="BR49" i="1"/>
  <c r="BR55" i="1"/>
  <c r="BR8" i="1"/>
  <c r="BR21" i="1"/>
  <c r="BR43" i="1"/>
  <c r="BR10" i="1"/>
  <c r="BR25" i="1"/>
  <c r="BR65" i="1"/>
  <c r="BR69" i="1"/>
  <c r="BR71" i="1"/>
  <c r="BR84" i="1"/>
  <c r="BR89" i="1"/>
  <c r="D72" i="1" l="1"/>
  <c r="D195" i="1"/>
  <c r="CB3" i="1"/>
  <c r="D192" i="1"/>
  <c r="D75" i="1"/>
  <c r="BM138" i="1"/>
  <c r="BP474" i="1"/>
  <c r="BO474" i="1"/>
  <c r="BN474" i="1"/>
  <c r="BM474" i="1"/>
  <c r="BL474" i="1"/>
  <c r="BP473" i="1"/>
  <c r="BO473" i="1"/>
  <c r="BN473" i="1"/>
  <c r="BM473" i="1"/>
  <c r="BL473" i="1"/>
  <c r="BP472" i="1"/>
  <c r="BO472" i="1"/>
  <c r="BN472" i="1"/>
  <c r="BM472" i="1"/>
  <c r="BL472" i="1"/>
  <c r="BP471" i="1"/>
  <c r="BO471" i="1"/>
  <c r="BN471" i="1"/>
  <c r="BM471" i="1"/>
  <c r="BL471" i="1"/>
  <c r="BP470" i="1"/>
  <c r="BO470" i="1"/>
  <c r="BN470" i="1"/>
  <c r="BM470" i="1"/>
  <c r="BL470" i="1"/>
  <c r="BP469" i="1"/>
  <c r="BO469" i="1"/>
  <c r="BN469" i="1"/>
  <c r="BM469" i="1"/>
  <c r="BL469" i="1"/>
  <c r="BP468" i="1"/>
  <c r="BO468" i="1"/>
  <c r="BN468" i="1"/>
  <c r="BM468" i="1"/>
  <c r="BL468" i="1"/>
  <c r="BP467" i="1"/>
  <c r="BO467" i="1"/>
  <c r="BN467" i="1"/>
  <c r="BM467" i="1"/>
  <c r="BL467" i="1"/>
  <c r="BP466" i="1"/>
  <c r="BO466" i="1"/>
  <c r="BN466" i="1"/>
  <c r="BM466" i="1"/>
  <c r="BL466" i="1"/>
  <c r="BP465" i="1"/>
  <c r="BO465" i="1"/>
  <c r="BN465" i="1"/>
  <c r="BM465" i="1"/>
  <c r="BL465" i="1"/>
  <c r="BP464" i="1"/>
  <c r="BO464" i="1"/>
  <c r="BN464" i="1"/>
  <c r="BM464" i="1"/>
  <c r="BL464" i="1"/>
  <c r="BP463" i="1"/>
  <c r="BO463" i="1"/>
  <c r="BN463" i="1"/>
  <c r="BM463" i="1"/>
  <c r="BL463" i="1"/>
  <c r="BP462" i="1"/>
  <c r="BO462" i="1"/>
  <c r="BN462" i="1"/>
  <c r="BM462" i="1"/>
  <c r="BL462" i="1"/>
  <c r="BP461" i="1"/>
  <c r="BO461" i="1"/>
  <c r="BN461" i="1"/>
  <c r="BM461" i="1"/>
  <c r="BL461" i="1"/>
  <c r="BP460" i="1"/>
  <c r="BO460" i="1"/>
  <c r="BN460" i="1"/>
  <c r="BM460" i="1"/>
  <c r="BL460" i="1"/>
  <c r="BP459" i="1"/>
  <c r="BO459" i="1"/>
  <c r="BN459" i="1"/>
  <c r="BM459" i="1"/>
  <c r="BL459" i="1"/>
  <c r="BP458" i="1"/>
  <c r="BO458" i="1"/>
  <c r="BN458" i="1"/>
  <c r="BM458" i="1"/>
  <c r="BL458" i="1"/>
  <c r="BP457" i="1"/>
  <c r="BO457" i="1"/>
  <c r="BN457" i="1"/>
  <c r="BM457" i="1"/>
  <c r="BL457" i="1"/>
  <c r="BP456" i="1"/>
  <c r="BO456" i="1"/>
  <c r="BN456" i="1"/>
  <c r="BM456" i="1"/>
  <c r="BL456" i="1"/>
  <c r="BP455" i="1"/>
  <c r="BO455" i="1"/>
  <c r="BN455" i="1"/>
  <c r="BM455" i="1"/>
  <c r="BL455" i="1"/>
  <c r="BP454" i="1"/>
  <c r="BO454" i="1"/>
  <c r="BN454" i="1"/>
  <c r="BM454" i="1"/>
  <c r="BL454" i="1"/>
  <c r="BP453" i="1"/>
  <c r="BO453" i="1"/>
  <c r="BN453" i="1"/>
  <c r="BM453" i="1"/>
  <c r="BL453" i="1"/>
  <c r="BP452" i="1"/>
  <c r="BO452" i="1"/>
  <c r="BN452" i="1"/>
  <c r="BM452" i="1"/>
  <c r="BL452" i="1"/>
  <c r="BP451" i="1"/>
  <c r="BO451" i="1"/>
  <c r="BN451" i="1"/>
  <c r="BM451" i="1"/>
  <c r="BL451" i="1"/>
  <c r="BP450" i="1"/>
  <c r="BO450" i="1"/>
  <c r="BN450" i="1"/>
  <c r="BM450" i="1"/>
  <c r="BL450" i="1"/>
  <c r="BP449" i="1"/>
  <c r="BO449" i="1"/>
  <c r="BN449" i="1"/>
  <c r="BM449" i="1"/>
  <c r="BL449" i="1"/>
  <c r="BP448" i="1"/>
  <c r="BO448" i="1"/>
  <c r="BN448" i="1"/>
  <c r="BM448" i="1"/>
  <c r="BL448" i="1"/>
  <c r="BP447" i="1"/>
  <c r="BO447" i="1"/>
  <c r="BN447" i="1"/>
  <c r="BM447" i="1"/>
  <c r="BL447" i="1"/>
  <c r="BP446" i="1"/>
  <c r="BO446" i="1"/>
  <c r="BN446" i="1"/>
  <c r="BM446" i="1"/>
  <c r="BL446" i="1"/>
  <c r="BP445" i="1"/>
  <c r="BO445" i="1"/>
  <c r="BN445" i="1"/>
  <c r="BM445" i="1"/>
  <c r="BL445" i="1"/>
  <c r="BP444" i="1"/>
  <c r="BO444" i="1"/>
  <c r="BN444" i="1"/>
  <c r="BM444" i="1"/>
  <c r="BL444" i="1"/>
  <c r="BP443" i="1"/>
  <c r="BO443" i="1"/>
  <c r="BN443" i="1"/>
  <c r="BM443" i="1"/>
  <c r="BL443" i="1"/>
  <c r="BP442" i="1"/>
  <c r="BO442" i="1"/>
  <c r="BN442" i="1"/>
  <c r="BM442" i="1"/>
  <c r="BL442" i="1"/>
  <c r="BP441" i="1"/>
  <c r="BO441" i="1"/>
  <c r="BN441" i="1"/>
  <c r="BM441" i="1"/>
  <c r="BL441" i="1"/>
  <c r="BP440" i="1"/>
  <c r="BO440" i="1"/>
  <c r="BN440" i="1"/>
  <c r="BM440" i="1"/>
  <c r="BL440" i="1"/>
  <c r="BP439" i="1"/>
  <c r="BO439" i="1"/>
  <c r="BN439" i="1"/>
  <c r="BM439" i="1"/>
  <c r="BL439" i="1"/>
  <c r="BP438" i="1"/>
  <c r="BO438" i="1"/>
  <c r="BN438" i="1"/>
  <c r="BM438" i="1"/>
  <c r="BL438" i="1"/>
  <c r="BP437" i="1"/>
  <c r="BO437" i="1"/>
  <c r="BN437" i="1"/>
  <c r="BM437" i="1"/>
  <c r="BL437" i="1"/>
  <c r="BP436" i="1"/>
  <c r="BO436" i="1"/>
  <c r="BN436" i="1"/>
  <c r="BM436" i="1"/>
  <c r="BL436" i="1"/>
  <c r="BP435" i="1"/>
  <c r="BO435" i="1"/>
  <c r="BN435" i="1"/>
  <c r="BM435" i="1"/>
  <c r="BL435" i="1"/>
  <c r="BP434" i="1"/>
  <c r="BO434" i="1"/>
  <c r="BN434" i="1"/>
  <c r="BM434" i="1"/>
  <c r="BL434" i="1"/>
  <c r="BP433" i="1"/>
  <c r="BO433" i="1"/>
  <c r="BN433" i="1"/>
  <c r="BM433" i="1"/>
  <c r="BL433" i="1"/>
  <c r="BP432" i="1"/>
  <c r="BO432" i="1"/>
  <c r="BN432" i="1"/>
  <c r="BM432" i="1"/>
  <c r="BL432" i="1"/>
  <c r="BP431" i="1"/>
  <c r="BO431" i="1"/>
  <c r="BN431" i="1"/>
  <c r="BM431" i="1"/>
  <c r="BL431" i="1"/>
  <c r="BP430" i="1"/>
  <c r="BO430" i="1"/>
  <c r="BN430" i="1"/>
  <c r="BM430" i="1"/>
  <c r="BL430" i="1"/>
  <c r="BP429" i="1"/>
  <c r="BO429" i="1"/>
  <c r="BN429" i="1"/>
  <c r="BM429" i="1"/>
  <c r="BL429" i="1"/>
  <c r="BP428" i="1"/>
  <c r="BO428" i="1"/>
  <c r="BN428" i="1"/>
  <c r="BM428" i="1"/>
  <c r="BL428" i="1"/>
  <c r="BP427" i="1"/>
  <c r="BO427" i="1"/>
  <c r="BN427" i="1"/>
  <c r="BM427" i="1"/>
  <c r="BL427" i="1"/>
  <c r="BP426" i="1"/>
  <c r="BO426" i="1"/>
  <c r="BN426" i="1"/>
  <c r="BM426" i="1"/>
  <c r="BL426" i="1"/>
  <c r="BP425" i="1"/>
  <c r="BO425" i="1"/>
  <c r="BN425" i="1"/>
  <c r="BM425" i="1"/>
  <c r="BL425" i="1"/>
  <c r="BP424" i="1"/>
  <c r="BO424" i="1"/>
  <c r="BN424" i="1"/>
  <c r="BM424" i="1"/>
  <c r="BL424" i="1"/>
  <c r="BP423" i="1"/>
  <c r="BO423" i="1"/>
  <c r="BN423" i="1"/>
  <c r="BM423" i="1"/>
  <c r="BL423" i="1"/>
  <c r="BP422" i="1"/>
  <c r="BO422" i="1"/>
  <c r="BN422" i="1"/>
  <c r="BM422" i="1"/>
  <c r="BL422" i="1"/>
  <c r="BP421" i="1"/>
  <c r="BO421" i="1"/>
  <c r="BN421" i="1"/>
  <c r="BM421" i="1"/>
  <c r="BL421" i="1"/>
  <c r="BP420" i="1"/>
  <c r="BO420" i="1"/>
  <c r="BN420" i="1"/>
  <c r="BM420" i="1"/>
  <c r="BL420" i="1"/>
  <c r="BP419" i="1"/>
  <c r="BO419" i="1"/>
  <c r="BN419" i="1"/>
  <c r="BM419" i="1"/>
  <c r="BL419" i="1"/>
  <c r="BP418" i="1"/>
  <c r="BO418" i="1"/>
  <c r="BN418" i="1"/>
  <c r="BM418" i="1"/>
  <c r="BL418" i="1"/>
  <c r="BP417" i="1"/>
  <c r="BO417" i="1"/>
  <c r="BN417" i="1"/>
  <c r="BM417" i="1"/>
  <c r="BL417" i="1"/>
  <c r="BP416" i="1"/>
  <c r="BO416" i="1"/>
  <c r="BN416" i="1"/>
  <c r="BM416" i="1"/>
  <c r="BL416" i="1"/>
  <c r="BP415" i="1"/>
  <c r="BO415" i="1"/>
  <c r="BN415" i="1"/>
  <c r="BM415" i="1"/>
  <c r="BL415" i="1"/>
  <c r="BP414" i="1"/>
  <c r="BO414" i="1"/>
  <c r="BN414" i="1"/>
  <c r="BM414" i="1"/>
  <c r="BL414" i="1"/>
  <c r="BP413" i="1"/>
  <c r="BO413" i="1"/>
  <c r="BN413" i="1"/>
  <c r="BM413" i="1"/>
  <c r="BL413" i="1"/>
  <c r="BP412" i="1"/>
  <c r="BO412" i="1"/>
  <c r="BN412" i="1"/>
  <c r="BM412" i="1"/>
  <c r="BL412" i="1"/>
  <c r="BP411" i="1"/>
  <c r="BO411" i="1"/>
  <c r="BN411" i="1"/>
  <c r="BM411" i="1"/>
  <c r="BL411" i="1"/>
  <c r="BP410" i="1"/>
  <c r="BO410" i="1"/>
  <c r="BN410" i="1"/>
  <c r="BM410" i="1"/>
  <c r="BL410" i="1"/>
  <c r="BP409" i="1"/>
  <c r="BO409" i="1"/>
  <c r="BN409" i="1"/>
  <c r="BM409" i="1"/>
  <c r="BL409" i="1"/>
  <c r="BP408" i="1"/>
  <c r="BO408" i="1"/>
  <c r="BN408" i="1"/>
  <c r="BM408" i="1"/>
  <c r="BL408" i="1"/>
  <c r="BP407" i="1"/>
  <c r="BO407" i="1"/>
  <c r="BN407" i="1"/>
  <c r="BM407" i="1"/>
  <c r="BL407" i="1"/>
  <c r="BP406" i="1"/>
  <c r="BO406" i="1"/>
  <c r="BN406" i="1"/>
  <c r="BM406" i="1"/>
  <c r="BL406" i="1"/>
  <c r="BP405" i="1"/>
  <c r="BO405" i="1"/>
  <c r="BN405" i="1"/>
  <c r="BM405" i="1"/>
  <c r="BL405" i="1"/>
  <c r="BP404" i="1"/>
  <c r="BO404" i="1"/>
  <c r="BN404" i="1"/>
  <c r="BM404" i="1"/>
  <c r="BL404" i="1"/>
  <c r="BP403" i="1"/>
  <c r="BO403" i="1"/>
  <c r="BN403" i="1"/>
  <c r="BM403" i="1"/>
  <c r="BL403" i="1"/>
  <c r="BP402" i="1"/>
  <c r="BO402" i="1"/>
  <c r="BN402" i="1"/>
  <c r="BM402" i="1"/>
  <c r="BL402" i="1"/>
  <c r="BP401" i="1"/>
  <c r="BO401" i="1"/>
  <c r="BN401" i="1"/>
  <c r="BM401" i="1"/>
  <c r="BL401" i="1"/>
  <c r="BP400" i="1"/>
  <c r="BO400" i="1"/>
  <c r="BN400" i="1"/>
  <c r="BM400" i="1"/>
  <c r="BL400" i="1"/>
  <c r="BP399" i="1"/>
  <c r="BO399" i="1"/>
  <c r="BN399" i="1"/>
  <c r="BM399" i="1"/>
  <c r="BL399" i="1"/>
  <c r="BP398" i="1"/>
  <c r="BO398" i="1"/>
  <c r="BN398" i="1"/>
  <c r="BM398" i="1"/>
  <c r="BL398" i="1"/>
  <c r="BP397" i="1"/>
  <c r="BO397" i="1"/>
  <c r="BN397" i="1"/>
  <c r="BM397" i="1"/>
  <c r="BL397" i="1"/>
  <c r="BP396" i="1"/>
  <c r="BO396" i="1"/>
  <c r="BN396" i="1"/>
  <c r="BM396" i="1"/>
  <c r="BL396" i="1"/>
  <c r="BP395" i="1"/>
  <c r="BO395" i="1"/>
  <c r="BN395" i="1"/>
  <c r="BM395" i="1"/>
  <c r="BL395" i="1"/>
  <c r="BP394" i="1"/>
  <c r="BO394" i="1"/>
  <c r="BN394" i="1"/>
  <c r="BM394" i="1"/>
  <c r="BL394" i="1"/>
  <c r="BP393" i="1"/>
  <c r="BO393" i="1"/>
  <c r="BN393" i="1"/>
  <c r="BM393" i="1"/>
  <c r="BL393" i="1"/>
  <c r="BP392" i="1"/>
  <c r="BO392" i="1"/>
  <c r="BN392" i="1"/>
  <c r="BM392" i="1"/>
  <c r="BL392" i="1"/>
  <c r="BP391" i="1"/>
  <c r="BO391" i="1"/>
  <c r="BN391" i="1"/>
  <c r="BM391" i="1"/>
  <c r="BL391" i="1"/>
  <c r="BP390" i="1"/>
  <c r="BO390" i="1"/>
  <c r="BN390" i="1"/>
  <c r="BM390" i="1"/>
  <c r="BL390" i="1"/>
  <c r="BP389" i="1"/>
  <c r="BO389" i="1"/>
  <c r="BN389" i="1"/>
  <c r="BM389" i="1"/>
  <c r="BL389" i="1"/>
  <c r="BP388" i="1"/>
  <c r="BO388" i="1"/>
  <c r="BN388" i="1"/>
  <c r="BM388" i="1"/>
  <c r="BL388" i="1"/>
  <c r="BP387" i="1"/>
  <c r="BO387" i="1"/>
  <c r="BN387" i="1"/>
  <c r="BM387" i="1"/>
  <c r="BL387" i="1"/>
  <c r="BP386" i="1"/>
  <c r="BO386" i="1"/>
  <c r="BN386" i="1"/>
  <c r="BM386" i="1"/>
  <c r="BL386" i="1"/>
  <c r="BP385" i="1"/>
  <c r="BO385" i="1"/>
  <c r="BN385" i="1"/>
  <c r="BM385" i="1"/>
  <c r="BL385" i="1"/>
  <c r="BP384" i="1"/>
  <c r="BO384" i="1"/>
  <c r="BN384" i="1"/>
  <c r="BM384" i="1"/>
  <c r="BL384" i="1"/>
  <c r="BP383" i="1"/>
  <c r="BO383" i="1"/>
  <c r="BN383" i="1"/>
  <c r="BM383" i="1"/>
  <c r="BL383" i="1"/>
  <c r="BP382" i="1"/>
  <c r="BO382" i="1"/>
  <c r="BN382" i="1"/>
  <c r="BM382" i="1"/>
  <c r="BL382" i="1"/>
  <c r="BP381" i="1"/>
  <c r="BO381" i="1"/>
  <c r="BN381" i="1"/>
  <c r="BM381" i="1"/>
  <c r="BL381" i="1"/>
  <c r="BP380" i="1"/>
  <c r="BO380" i="1"/>
  <c r="BN380" i="1"/>
  <c r="BM380" i="1"/>
  <c r="BL380" i="1"/>
  <c r="BP379" i="1"/>
  <c r="BO379" i="1"/>
  <c r="BN379" i="1"/>
  <c r="BM379" i="1"/>
  <c r="BL379" i="1"/>
  <c r="BP378" i="1"/>
  <c r="BO378" i="1"/>
  <c r="BN378" i="1"/>
  <c r="BM378" i="1"/>
  <c r="BL378" i="1"/>
  <c r="BP377" i="1"/>
  <c r="BO377" i="1"/>
  <c r="BN377" i="1"/>
  <c r="BM377" i="1"/>
  <c r="BL377" i="1"/>
  <c r="BP376" i="1"/>
  <c r="BO376" i="1"/>
  <c r="BN376" i="1"/>
  <c r="BM376" i="1"/>
  <c r="BL376" i="1"/>
  <c r="BP375" i="1"/>
  <c r="BO375" i="1"/>
  <c r="BN375" i="1"/>
  <c r="BM375" i="1"/>
  <c r="BL375" i="1"/>
  <c r="BP374" i="1"/>
  <c r="BO374" i="1"/>
  <c r="BN374" i="1"/>
  <c r="BM374" i="1"/>
  <c r="BL374" i="1"/>
  <c r="BP373" i="1"/>
  <c r="BO373" i="1"/>
  <c r="BN373" i="1"/>
  <c r="BM373" i="1"/>
  <c r="BL373" i="1"/>
  <c r="BP372" i="1"/>
  <c r="BO372" i="1"/>
  <c r="BN372" i="1"/>
  <c r="BM372" i="1"/>
  <c r="BL372" i="1"/>
  <c r="BP371" i="1"/>
  <c r="BO371" i="1"/>
  <c r="BN371" i="1"/>
  <c r="BM371" i="1"/>
  <c r="BL371" i="1"/>
  <c r="BP370" i="1"/>
  <c r="BO370" i="1"/>
  <c r="BN370" i="1"/>
  <c r="BM370" i="1"/>
  <c r="BL370" i="1"/>
  <c r="BP369" i="1"/>
  <c r="BO369" i="1"/>
  <c r="BN369" i="1"/>
  <c r="BM369" i="1"/>
  <c r="BL369" i="1"/>
  <c r="BP368" i="1"/>
  <c r="BO368" i="1"/>
  <c r="BN368" i="1"/>
  <c r="BM368" i="1"/>
  <c r="BL368" i="1"/>
  <c r="BP367" i="1"/>
  <c r="BO367" i="1"/>
  <c r="BN367" i="1"/>
  <c r="BM367" i="1"/>
  <c r="BL367" i="1"/>
  <c r="BP366" i="1"/>
  <c r="BO366" i="1"/>
  <c r="BN366" i="1"/>
  <c r="BM366" i="1"/>
  <c r="BL366" i="1"/>
  <c r="BP365" i="1"/>
  <c r="BO365" i="1"/>
  <c r="BN365" i="1"/>
  <c r="BM365" i="1"/>
  <c r="BL365" i="1"/>
  <c r="BP364" i="1"/>
  <c r="BO364" i="1"/>
  <c r="BN364" i="1"/>
  <c r="BM364" i="1"/>
  <c r="BL364" i="1"/>
  <c r="BP363" i="1"/>
  <c r="BO363" i="1"/>
  <c r="BN363" i="1"/>
  <c r="BM363" i="1"/>
  <c r="BL363" i="1"/>
  <c r="BP362" i="1"/>
  <c r="BO362" i="1"/>
  <c r="BN362" i="1"/>
  <c r="BM362" i="1"/>
  <c r="BL362" i="1"/>
  <c r="BP361" i="1"/>
  <c r="BO361" i="1"/>
  <c r="BN361" i="1"/>
  <c r="BM361" i="1"/>
  <c r="BL361" i="1"/>
  <c r="BP360" i="1"/>
  <c r="BO360" i="1"/>
  <c r="BN360" i="1"/>
  <c r="BM360" i="1"/>
  <c r="BL360" i="1"/>
  <c r="BP359" i="1"/>
  <c r="BO359" i="1"/>
  <c r="BN359" i="1"/>
  <c r="BM359" i="1"/>
  <c r="BL359" i="1"/>
  <c r="BP358" i="1"/>
  <c r="BO358" i="1"/>
  <c r="BN358" i="1"/>
  <c r="BM358" i="1"/>
  <c r="BL358" i="1"/>
  <c r="BP357" i="1"/>
  <c r="BO357" i="1"/>
  <c r="BN357" i="1"/>
  <c r="BM357" i="1"/>
  <c r="BL357" i="1"/>
  <c r="BP356" i="1"/>
  <c r="BO356" i="1"/>
  <c r="BN356" i="1"/>
  <c r="BM356" i="1"/>
  <c r="BL356" i="1"/>
  <c r="BP355" i="1"/>
  <c r="BO355" i="1"/>
  <c r="BN355" i="1"/>
  <c r="BM355" i="1"/>
  <c r="BL355" i="1"/>
  <c r="BP354" i="1"/>
  <c r="BO354" i="1"/>
  <c r="BN354" i="1"/>
  <c r="BM354" i="1"/>
  <c r="BL354" i="1"/>
  <c r="BP353" i="1"/>
  <c r="BO353" i="1"/>
  <c r="BN353" i="1"/>
  <c r="BM353" i="1"/>
  <c r="BL353" i="1"/>
  <c r="BP352" i="1"/>
  <c r="BO352" i="1"/>
  <c r="BN352" i="1"/>
  <c r="BM352" i="1"/>
  <c r="BL352" i="1"/>
  <c r="BP351" i="1"/>
  <c r="BO351" i="1"/>
  <c r="BN351" i="1"/>
  <c r="BM351" i="1"/>
  <c r="BL351" i="1"/>
  <c r="BP350" i="1"/>
  <c r="BO350" i="1"/>
  <c r="BN350" i="1"/>
  <c r="BM350" i="1"/>
  <c r="BL350" i="1"/>
  <c r="BP349" i="1"/>
  <c r="BO349" i="1"/>
  <c r="BN349" i="1"/>
  <c r="BM349" i="1"/>
  <c r="BL349" i="1"/>
  <c r="BP348" i="1"/>
  <c r="BO348" i="1"/>
  <c r="BN348" i="1"/>
  <c r="BM348" i="1"/>
  <c r="BL348" i="1"/>
  <c r="BP347" i="1"/>
  <c r="BO347" i="1"/>
  <c r="BN347" i="1"/>
  <c r="BM347" i="1"/>
  <c r="BL347" i="1"/>
  <c r="BP346" i="1"/>
  <c r="BO346" i="1"/>
  <c r="BN346" i="1"/>
  <c r="BM346" i="1"/>
  <c r="BL346" i="1"/>
  <c r="BP345" i="1"/>
  <c r="BO345" i="1"/>
  <c r="BN345" i="1"/>
  <c r="BM345" i="1"/>
  <c r="BL345" i="1"/>
  <c r="BP344" i="1"/>
  <c r="BO344" i="1"/>
  <c r="BN344" i="1"/>
  <c r="BM344" i="1"/>
  <c r="BL344" i="1"/>
  <c r="BP343" i="1"/>
  <c r="BO343" i="1"/>
  <c r="BN343" i="1"/>
  <c r="BM343" i="1"/>
  <c r="BL343" i="1"/>
  <c r="BP342" i="1"/>
  <c r="BO342" i="1"/>
  <c r="BN342" i="1"/>
  <c r="BM342" i="1"/>
  <c r="BL342" i="1"/>
  <c r="BP341" i="1"/>
  <c r="BO341" i="1"/>
  <c r="BN341" i="1"/>
  <c r="BM341" i="1"/>
  <c r="BL341" i="1"/>
  <c r="BP340" i="1"/>
  <c r="BO340" i="1"/>
  <c r="BN340" i="1"/>
  <c r="BM340" i="1"/>
  <c r="BL340" i="1"/>
  <c r="BP339" i="1"/>
  <c r="BO339" i="1"/>
  <c r="BN339" i="1"/>
  <c r="BM339" i="1"/>
  <c r="BL339" i="1"/>
  <c r="BP338" i="1"/>
  <c r="BO338" i="1"/>
  <c r="BN338" i="1"/>
  <c r="BM338" i="1"/>
  <c r="BL338" i="1"/>
  <c r="BP337" i="1"/>
  <c r="BO337" i="1"/>
  <c r="BN337" i="1"/>
  <c r="BM337" i="1"/>
  <c r="BL337" i="1"/>
  <c r="BP336" i="1"/>
  <c r="BO336" i="1"/>
  <c r="BN336" i="1"/>
  <c r="BM336" i="1"/>
  <c r="BL336" i="1"/>
  <c r="BP335" i="1"/>
  <c r="BO335" i="1"/>
  <c r="BN335" i="1"/>
  <c r="BM335" i="1"/>
  <c r="BL335" i="1"/>
  <c r="BP334" i="1"/>
  <c r="BO334" i="1"/>
  <c r="BN334" i="1"/>
  <c r="BM334" i="1"/>
  <c r="BL334" i="1"/>
  <c r="BP333" i="1"/>
  <c r="BO333" i="1"/>
  <c r="BN333" i="1"/>
  <c r="BM333" i="1"/>
  <c r="BL333" i="1"/>
  <c r="BP332" i="1"/>
  <c r="BO332" i="1"/>
  <c r="BN332" i="1"/>
  <c r="BM332" i="1"/>
  <c r="BL332" i="1"/>
  <c r="BP331" i="1"/>
  <c r="BO331" i="1"/>
  <c r="BN331" i="1"/>
  <c r="BM331" i="1"/>
  <c r="BL331" i="1"/>
  <c r="BP330" i="1"/>
  <c r="BO330" i="1"/>
  <c r="BN330" i="1"/>
  <c r="BM330" i="1"/>
  <c r="BL330" i="1"/>
  <c r="BP329" i="1"/>
  <c r="BO329" i="1"/>
  <c r="BN329" i="1"/>
  <c r="BM329" i="1"/>
  <c r="BL329" i="1"/>
  <c r="BP328" i="1"/>
  <c r="BO328" i="1"/>
  <c r="BN328" i="1"/>
  <c r="BM328" i="1"/>
  <c r="BL328" i="1"/>
  <c r="BP327" i="1"/>
  <c r="BO327" i="1"/>
  <c r="BN327" i="1"/>
  <c r="BM327" i="1"/>
  <c r="BL327" i="1"/>
  <c r="BP326" i="1"/>
  <c r="BO326" i="1"/>
  <c r="BN326" i="1"/>
  <c r="BM326" i="1"/>
  <c r="BL326" i="1"/>
  <c r="BP325" i="1"/>
  <c r="BO325" i="1"/>
  <c r="BN325" i="1"/>
  <c r="BM325" i="1"/>
  <c r="BL325" i="1"/>
  <c r="BP324" i="1"/>
  <c r="BO324" i="1"/>
  <c r="BN324" i="1"/>
  <c r="BM324" i="1"/>
  <c r="BL324" i="1"/>
  <c r="BP323" i="1"/>
  <c r="BO323" i="1"/>
  <c r="BN323" i="1"/>
  <c r="BM323" i="1"/>
  <c r="BL323" i="1"/>
  <c r="BP322" i="1"/>
  <c r="BO322" i="1"/>
  <c r="BN322" i="1"/>
  <c r="BM322" i="1"/>
  <c r="BL322" i="1"/>
  <c r="BP321" i="1"/>
  <c r="BO321" i="1"/>
  <c r="BN321" i="1"/>
  <c r="BM321" i="1"/>
  <c r="BL321" i="1"/>
  <c r="BP320" i="1"/>
  <c r="BO320" i="1"/>
  <c r="BN320" i="1"/>
  <c r="BM320" i="1"/>
  <c r="BL320" i="1"/>
  <c r="BP319" i="1"/>
  <c r="BO319" i="1"/>
  <c r="BN319" i="1"/>
  <c r="BM319" i="1"/>
  <c r="BL319" i="1"/>
  <c r="BP318" i="1"/>
  <c r="BO318" i="1"/>
  <c r="BN318" i="1"/>
  <c r="BM318" i="1"/>
  <c r="BL318" i="1"/>
  <c r="BP317" i="1"/>
  <c r="BO317" i="1"/>
  <c r="BN317" i="1"/>
  <c r="BM317" i="1"/>
  <c r="BL317" i="1"/>
  <c r="BP316" i="1"/>
  <c r="BO316" i="1"/>
  <c r="BN316" i="1"/>
  <c r="BM316" i="1"/>
  <c r="BL316" i="1"/>
  <c r="BP315" i="1"/>
  <c r="BO315" i="1"/>
  <c r="BN315" i="1"/>
  <c r="BM315" i="1"/>
  <c r="BL315" i="1"/>
  <c r="BP314" i="1"/>
  <c r="BO314" i="1"/>
  <c r="BN314" i="1"/>
  <c r="BM314" i="1"/>
  <c r="BL314" i="1"/>
  <c r="BP313" i="1"/>
  <c r="BO313" i="1"/>
  <c r="BN313" i="1"/>
  <c r="BM313" i="1"/>
  <c r="BL313" i="1"/>
  <c r="BP312" i="1"/>
  <c r="BO312" i="1"/>
  <c r="BN312" i="1"/>
  <c r="BM312" i="1"/>
  <c r="BL312" i="1"/>
  <c r="BP311" i="1"/>
  <c r="BO311" i="1"/>
  <c r="BN311" i="1"/>
  <c r="BM311" i="1"/>
  <c r="BL311" i="1"/>
  <c r="BP310" i="1"/>
  <c r="BO310" i="1"/>
  <c r="BN310" i="1"/>
  <c r="BM310" i="1"/>
  <c r="BL310" i="1"/>
  <c r="BP309" i="1"/>
  <c r="BO309" i="1"/>
  <c r="BN309" i="1"/>
  <c r="BM309" i="1"/>
  <c r="BL309" i="1"/>
  <c r="BP308" i="1"/>
  <c r="BO308" i="1"/>
  <c r="BN308" i="1"/>
  <c r="BM308" i="1"/>
  <c r="BL308" i="1"/>
  <c r="BP307" i="1"/>
  <c r="BO307" i="1"/>
  <c r="BN307" i="1"/>
  <c r="BM307" i="1"/>
  <c r="BL307" i="1"/>
  <c r="BP306" i="1"/>
  <c r="BO306" i="1"/>
  <c r="BN306" i="1"/>
  <c r="BM306" i="1"/>
  <c r="BL306" i="1"/>
  <c r="BP305" i="1"/>
  <c r="BO305" i="1"/>
  <c r="BN305" i="1"/>
  <c r="BM305" i="1"/>
  <c r="BL305" i="1"/>
  <c r="BP304" i="1"/>
  <c r="BO304" i="1"/>
  <c r="BN304" i="1"/>
  <c r="BM304" i="1"/>
  <c r="BL304" i="1"/>
  <c r="BP303" i="1"/>
  <c r="BO303" i="1"/>
  <c r="BN303" i="1"/>
  <c r="BM303" i="1"/>
  <c r="BL303" i="1"/>
  <c r="BP302" i="1"/>
  <c r="BO302" i="1"/>
  <c r="BN302" i="1"/>
  <c r="BM302" i="1"/>
  <c r="BL302" i="1"/>
  <c r="BP301" i="1"/>
  <c r="BO301" i="1"/>
  <c r="BN301" i="1"/>
  <c r="BM301" i="1"/>
  <c r="BL301" i="1"/>
  <c r="BP300" i="1"/>
  <c r="BO300" i="1"/>
  <c r="BN300" i="1"/>
  <c r="BM300" i="1"/>
  <c r="BL300" i="1"/>
  <c r="BP299" i="1"/>
  <c r="BO299" i="1"/>
  <c r="BN299" i="1"/>
  <c r="BM299" i="1"/>
  <c r="BL299" i="1"/>
  <c r="BP298" i="1"/>
  <c r="BO298" i="1"/>
  <c r="BN298" i="1"/>
  <c r="BM298" i="1"/>
  <c r="BL298" i="1"/>
  <c r="BP297" i="1"/>
  <c r="BO297" i="1"/>
  <c r="BN297" i="1"/>
  <c r="BM297" i="1"/>
  <c r="BL297" i="1"/>
  <c r="BP296" i="1"/>
  <c r="BO296" i="1"/>
  <c r="BN296" i="1"/>
  <c r="BM296" i="1"/>
  <c r="BL296" i="1"/>
  <c r="BP295" i="1"/>
  <c r="BO295" i="1"/>
  <c r="BN295" i="1"/>
  <c r="BM295" i="1"/>
  <c r="BL295" i="1"/>
  <c r="BP294" i="1"/>
  <c r="BO294" i="1"/>
  <c r="BN294" i="1"/>
  <c r="BM294" i="1"/>
  <c r="BL294" i="1"/>
  <c r="BP293" i="1"/>
  <c r="BO293" i="1"/>
  <c r="BN293" i="1"/>
  <c r="BM293" i="1"/>
  <c r="BL293" i="1"/>
  <c r="BP292" i="1"/>
  <c r="BO292" i="1"/>
  <c r="BN292" i="1"/>
  <c r="BM292" i="1"/>
  <c r="BL292" i="1"/>
  <c r="BP291" i="1"/>
  <c r="BO291" i="1"/>
  <c r="BN291" i="1"/>
  <c r="BM291" i="1"/>
  <c r="BL291" i="1"/>
  <c r="BP290" i="1"/>
  <c r="BO290" i="1"/>
  <c r="BN290" i="1"/>
  <c r="BM290" i="1"/>
  <c r="BL290" i="1"/>
  <c r="BP289" i="1"/>
  <c r="BO289" i="1"/>
  <c r="BN289" i="1"/>
  <c r="BM289" i="1"/>
  <c r="BL289" i="1"/>
  <c r="BP288" i="1"/>
  <c r="BO288" i="1"/>
  <c r="BN288" i="1"/>
  <c r="BM288" i="1"/>
  <c r="BL288" i="1"/>
  <c r="BP287" i="1"/>
  <c r="BO287" i="1"/>
  <c r="BN287" i="1"/>
  <c r="BM287" i="1"/>
  <c r="BL287" i="1"/>
  <c r="BP286" i="1"/>
  <c r="BO286" i="1"/>
  <c r="BN286" i="1"/>
  <c r="BM286" i="1"/>
  <c r="BL286" i="1"/>
  <c r="BP285" i="1"/>
  <c r="BO285" i="1"/>
  <c r="BN285" i="1"/>
  <c r="BM285" i="1"/>
  <c r="BL285" i="1"/>
  <c r="BP284" i="1"/>
  <c r="BO284" i="1"/>
  <c r="BN284" i="1"/>
  <c r="BM284" i="1"/>
  <c r="BL284" i="1"/>
  <c r="BP283" i="1"/>
  <c r="BO283" i="1"/>
  <c r="BN283" i="1"/>
  <c r="BM283" i="1"/>
  <c r="BL283" i="1"/>
  <c r="BP282" i="1"/>
  <c r="BO282" i="1"/>
  <c r="BN282" i="1"/>
  <c r="BM282" i="1"/>
  <c r="BL282" i="1"/>
  <c r="BP281" i="1"/>
  <c r="BO281" i="1"/>
  <c r="BN281" i="1"/>
  <c r="BM281" i="1"/>
  <c r="BL281" i="1"/>
  <c r="BP280" i="1"/>
  <c r="BO280" i="1"/>
  <c r="BN280" i="1"/>
  <c r="BM280" i="1"/>
  <c r="BL280" i="1"/>
  <c r="BP279" i="1"/>
  <c r="BO279" i="1"/>
  <c r="BN279" i="1"/>
  <c r="BM279" i="1"/>
  <c r="BL279" i="1"/>
  <c r="BP278" i="1"/>
  <c r="BO278" i="1"/>
  <c r="BN278" i="1"/>
  <c r="BM278" i="1"/>
  <c r="BL278" i="1"/>
  <c r="BP277" i="1"/>
  <c r="BO277" i="1"/>
  <c r="BN277" i="1"/>
  <c r="BM277" i="1"/>
  <c r="BL277" i="1"/>
  <c r="BP276" i="1"/>
  <c r="BO276" i="1"/>
  <c r="BN276" i="1"/>
  <c r="BM276" i="1"/>
  <c r="BL276" i="1"/>
  <c r="BP275" i="1"/>
  <c r="BO275" i="1"/>
  <c r="BN275" i="1"/>
  <c r="BM275" i="1"/>
  <c r="BL275" i="1"/>
  <c r="BP274" i="1"/>
  <c r="BO274" i="1"/>
  <c r="BN274" i="1"/>
  <c r="BM274" i="1"/>
  <c r="BL274" i="1"/>
  <c r="BP273" i="1"/>
  <c r="BO273" i="1"/>
  <c r="BN273" i="1"/>
  <c r="BM273" i="1"/>
  <c r="BL273" i="1"/>
  <c r="BP272" i="1"/>
  <c r="BO272" i="1"/>
  <c r="BN272" i="1"/>
  <c r="BM272" i="1"/>
  <c r="BL272" i="1"/>
  <c r="BP271" i="1"/>
  <c r="BO271" i="1"/>
  <c r="BN271" i="1"/>
  <c r="BM271" i="1"/>
  <c r="BL271" i="1"/>
  <c r="BP270" i="1"/>
  <c r="BO270" i="1"/>
  <c r="BN270" i="1"/>
  <c r="BM270" i="1"/>
  <c r="BL270" i="1"/>
  <c r="BP269" i="1"/>
  <c r="BO269" i="1"/>
  <c r="BN269" i="1"/>
  <c r="BM269" i="1"/>
  <c r="BL269" i="1"/>
  <c r="BP268" i="1"/>
  <c r="BO268" i="1"/>
  <c r="BN268" i="1"/>
  <c r="BM268" i="1"/>
  <c r="BL268" i="1"/>
  <c r="BP267" i="1"/>
  <c r="BO267" i="1"/>
  <c r="BN267" i="1"/>
  <c r="BM267" i="1"/>
  <c r="BL267" i="1"/>
  <c r="BP266" i="1"/>
  <c r="BO266" i="1"/>
  <c r="BN266" i="1"/>
  <c r="BM266" i="1"/>
  <c r="BL266" i="1"/>
  <c r="BP265" i="1"/>
  <c r="BO265" i="1"/>
  <c r="BN265" i="1"/>
  <c r="BM265" i="1"/>
  <c r="BL265" i="1"/>
  <c r="BP264" i="1"/>
  <c r="BO264" i="1"/>
  <c r="BN264" i="1"/>
  <c r="BM264" i="1"/>
  <c r="BL264" i="1"/>
  <c r="BP263" i="1"/>
  <c r="BO263" i="1"/>
  <c r="BN263" i="1"/>
  <c r="BM263" i="1"/>
  <c r="BL263" i="1"/>
  <c r="BP262" i="1"/>
  <c r="BO262" i="1"/>
  <c r="BN262" i="1"/>
  <c r="BM262" i="1"/>
  <c r="BL262" i="1"/>
  <c r="BP261" i="1"/>
  <c r="BO261" i="1"/>
  <c r="BN261" i="1"/>
  <c r="BM261" i="1"/>
  <c r="BL261" i="1"/>
  <c r="BP260" i="1"/>
  <c r="BO260" i="1"/>
  <c r="BN260" i="1"/>
  <c r="BM260" i="1"/>
  <c r="BL260" i="1"/>
  <c r="BP259" i="1"/>
  <c r="BO259" i="1"/>
  <c r="BN259" i="1"/>
  <c r="BM259" i="1"/>
  <c r="BL259" i="1"/>
  <c r="BP258" i="1"/>
  <c r="BO258" i="1"/>
  <c r="BN258" i="1"/>
  <c r="BM258" i="1"/>
  <c r="BL258" i="1"/>
  <c r="BP257" i="1"/>
  <c r="BO257" i="1"/>
  <c r="BN257" i="1"/>
  <c r="BM257" i="1"/>
  <c r="BL257" i="1"/>
  <c r="BP256" i="1"/>
  <c r="BO256" i="1"/>
  <c r="BN256" i="1"/>
  <c r="BM256" i="1"/>
  <c r="BL256" i="1"/>
  <c r="BP255" i="1"/>
  <c r="BO255" i="1"/>
  <c r="BN255" i="1"/>
  <c r="BM255" i="1"/>
  <c r="BL255" i="1"/>
  <c r="BP254" i="1"/>
  <c r="BO254" i="1"/>
  <c r="BN254" i="1"/>
  <c r="BM254" i="1"/>
  <c r="BL254" i="1"/>
  <c r="BP253" i="1"/>
  <c r="BO253" i="1"/>
  <c r="BN253" i="1"/>
  <c r="BM253" i="1"/>
  <c r="BL253" i="1"/>
  <c r="BP252" i="1"/>
  <c r="BO252" i="1"/>
  <c r="BN252" i="1"/>
  <c r="BM252" i="1"/>
  <c r="BL252" i="1"/>
  <c r="BP251" i="1"/>
  <c r="BO251" i="1"/>
  <c r="BN251" i="1"/>
  <c r="BM251" i="1"/>
  <c r="BL251" i="1"/>
  <c r="BP250" i="1"/>
  <c r="BO250" i="1"/>
  <c r="BN250" i="1"/>
  <c r="BM250" i="1"/>
  <c r="BL250" i="1"/>
  <c r="BP249" i="1"/>
  <c r="BO249" i="1"/>
  <c r="BN249" i="1"/>
  <c r="BM249" i="1"/>
  <c r="BL249" i="1"/>
  <c r="BP248" i="1"/>
  <c r="BO248" i="1"/>
  <c r="BN248" i="1"/>
  <c r="BM248" i="1"/>
  <c r="BL248" i="1"/>
  <c r="BP247" i="1"/>
  <c r="BO247" i="1"/>
  <c r="BN247" i="1"/>
  <c r="BM247" i="1"/>
  <c r="BL247" i="1"/>
  <c r="BP246" i="1"/>
  <c r="BO246" i="1"/>
  <c r="BN246" i="1"/>
  <c r="BM246" i="1"/>
  <c r="BL246" i="1"/>
  <c r="BP245" i="1"/>
  <c r="BO245" i="1"/>
  <c r="BN245" i="1"/>
  <c r="BM245" i="1"/>
  <c r="BL245" i="1"/>
  <c r="BP244" i="1"/>
  <c r="BO244" i="1"/>
  <c r="BN244" i="1"/>
  <c r="BM244" i="1"/>
  <c r="BL244" i="1"/>
  <c r="BP243" i="1"/>
  <c r="BO243" i="1"/>
  <c r="BN243" i="1"/>
  <c r="BM243" i="1"/>
  <c r="BL243" i="1"/>
  <c r="BP242" i="1"/>
  <c r="BO242" i="1"/>
  <c r="BN242" i="1"/>
  <c r="BM242" i="1"/>
  <c r="BL242" i="1"/>
  <c r="BP241" i="1"/>
  <c r="BO241" i="1"/>
  <c r="BN241" i="1"/>
  <c r="BM241" i="1"/>
  <c r="BL241" i="1"/>
  <c r="BP240" i="1"/>
  <c r="BO240" i="1"/>
  <c r="BN240" i="1"/>
  <c r="BM240" i="1"/>
  <c r="BL240" i="1"/>
  <c r="BP239" i="1"/>
  <c r="BO239" i="1"/>
  <c r="BN239" i="1"/>
  <c r="BM239" i="1"/>
  <c r="BL239" i="1"/>
  <c r="BP238" i="1"/>
  <c r="BO238" i="1"/>
  <c r="BN238" i="1"/>
  <c r="BM238" i="1"/>
  <c r="BL238" i="1"/>
  <c r="BP237" i="1"/>
  <c r="BO237" i="1"/>
  <c r="BN237" i="1"/>
  <c r="BM237" i="1"/>
  <c r="BL237" i="1"/>
  <c r="BP236" i="1"/>
  <c r="BO236" i="1"/>
  <c r="BN236" i="1"/>
  <c r="BM236" i="1"/>
  <c r="BL236" i="1"/>
  <c r="BP235" i="1"/>
  <c r="BO235" i="1"/>
  <c r="BN235" i="1"/>
  <c r="BM235" i="1"/>
  <c r="BL235" i="1"/>
  <c r="BP234" i="1"/>
  <c r="BO234" i="1"/>
  <c r="BN234" i="1"/>
  <c r="BM234" i="1"/>
  <c r="BL234" i="1"/>
  <c r="BP233" i="1"/>
  <c r="BO233" i="1"/>
  <c r="BN233" i="1"/>
  <c r="BM233" i="1"/>
  <c r="BL233" i="1"/>
  <c r="BP232" i="1"/>
  <c r="BO232" i="1"/>
  <c r="BN232" i="1"/>
  <c r="BM232" i="1"/>
  <c r="BL232" i="1"/>
  <c r="BP231" i="1"/>
  <c r="BO231" i="1"/>
  <c r="BN231" i="1"/>
  <c r="BM231" i="1"/>
  <c r="BL231" i="1"/>
  <c r="BP230" i="1"/>
  <c r="BO230" i="1"/>
  <c r="BN230" i="1"/>
  <c r="BM230" i="1"/>
  <c r="BL230" i="1"/>
  <c r="BP229" i="1"/>
  <c r="BO229" i="1"/>
  <c r="BN229" i="1"/>
  <c r="BM229" i="1"/>
  <c r="BL229" i="1"/>
  <c r="BP228" i="1"/>
  <c r="BO228" i="1"/>
  <c r="BN228" i="1"/>
  <c r="BM228" i="1"/>
  <c r="BL228" i="1"/>
  <c r="BP227" i="1"/>
  <c r="BO227" i="1"/>
  <c r="BN227" i="1"/>
  <c r="BM227" i="1"/>
  <c r="BL227" i="1"/>
  <c r="BP226" i="1"/>
  <c r="BO226" i="1"/>
  <c r="BN226" i="1"/>
  <c r="BM226" i="1"/>
  <c r="BL226" i="1"/>
  <c r="BP225" i="1"/>
  <c r="BO225" i="1"/>
  <c r="BN225" i="1"/>
  <c r="BM225" i="1"/>
  <c r="BL225" i="1"/>
  <c r="BP224" i="1"/>
  <c r="BO224" i="1"/>
  <c r="BN224" i="1"/>
  <c r="BM224" i="1"/>
  <c r="BL224" i="1"/>
  <c r="BP223" i="1"/>
  <c r="BO223" i="1"/>
  <c r="BN223" i="1"/>
  <c r="BM223" i="1"/>
  <c r="BL223" i="1"/>
  <c r="BP222" i="1"/>
  <c r="BO222" i="1"/>
  <c r="BN222" i="1"/>
  <c r="BM222" i="1"/>
  <c r="BL222" i="1"/>
  <c r="BP221" i="1"/>
  <c r="BO221" i="1"/>
  <c r="BN221" i="1"/>
  <c r="BM221" i="1"/>
  <c r="BL221" i="1"/>
  <c r="BP220" i="1"/>
  <c r="BO220" i="1"/>
  <c r="BN220" i="1"/>
  <c r="BM220" i="1"/>
  <c r="BL220" i="1"/>
  <c r="BP219" i="1"/>
  <c r="BO219" i="1"/>
  <c r="BN219" i="1"/>
  <c r="BM219" i="1"/>
  <c r="BL219" i="1"/>
  <c r="BP218" i="1"/>
  <c r="BO218" i="1"/>
  <c r="BN218" i="1"/>
  <c r="BM218" i="1"/>
  <c r="BL218" i="1"/>
  <c r="BP217" i="1"/>
  <c r="BO217" i="1"/>
  <c r="BN217" i="1"/>
  <c r="BM217" i="1"/>
  <c r="BL217" i="1"/>
  <c r="BP216" i="1"/>
  <c r="BO216" i="1"/>
  <c r="BN216" i="1"/>
  <c r="BM216" i="1"/>
  <c r="BL216" i="1"/>
  <c r="BP215" i="1"/>
  <c r="BO215" i="1"/>
  <c r="BN215" i="1"/>
  <c r="BM215" i="1"/>
  <c r="BL215" i="1"/>
  <c r="BP214" i="1"/>
  <c r="BO214" i="1"/>
  <c r="BN214" i="1"/>
  <c r="BM214" i="1"/>
  <c r="BL214" i="1"/>
  <c r="BP213" i="1"/>
  <c r="BO213" i="1"/>
  <c r="BN213" i="1"/>
  <c r="BM213" i="1"/>
  <c r="BL213" i="1"/>
  <c r="BP212" i="1"/>
  <c r="BO212" i="1"/>
  <c r="BN212" i="1"/>
  <c r="BM212" i="1"/>
  <c r="BL212" i="1"/>
  <c r="BP211" i="1"/>
  <c r="BO211" i="1"/>
  <c r="BN211" i="1"/>
  <c r="BM211" i="1"/>
  <c r="BL211" i="1"/>
  <c r="BP210" i="1"/>
  <c r="BO210" i="1"/>
  <c r="BN210" i="1"/>
  <c r="BM210" i="1"/>
  <c r="BL210" i="1"/>
  <c r="BP209" i="1"/>
  <c r="BO209" i="1"/>
  <c r="BN209" i="1"/>
  <c r="BM209" i="1"/>
  <c r="BL209" i="1"/>
  <c r="BP208" i="1"/>
  <c r="BO208" i="1"/>
  <c r="BN208" i="1"/>
  <c r="BM208" i="1"/>
  <c r="BL208" i="1"/>
  <c r="BP207" i="1"/>
  <c r="BO207" i="1"/>
  <c r="BN207" i="1"/>
  <c r="BM207" i="1"/>
  <c r="BL207" i="1"/>
  <c r="BP206" i="1"/>
  <c r="BO206" i="1"/>
  <c r="BN206" i="1"/>
  <c r="BM206" i="1"/>
  <c r="BL206" i="1"/>
  <c r="BP205" i="1"/>
  <c r="BO205" i="1"/>
  <c r="BN205" i="1"/>
  <c r="BM205" i="1"/>
  <c r="BL205" i="1"/>
  <c r="BP204" i="1"/>
  <c r="BO204" i="1"/>
  <c r="BN204" i="1"/>
  <c r="BM204" i="1"/>
  <c r="BL204" i="1"/>
  <c r="BP203" i="1"/>
  <c r="BO203" i="1"/>
  <c r="BN203" i="1"/>
  <c r="BM203" i="1"/>
  <c r="BL203" i="1"/>
  <c r="BP202" i="1"/>
  <c r="BO202" i="1"/>
  <c r="BN202" i="1"/>
  <c r="BM202" i="1"/>
  <c r="BL202" i="1"/>
  <c r="BP201" i="1"/>
  <c r="BO201" i="1"/>
  <c r="BN201" i="1"/>
  <c r="BM201" i="1"/>
  <c r="BL201" i="1"/>
  <c r="BP200" i="1"/>
  <c r="BO200" i="1"/>
  <c r="BN200" i="1"/>
  <c r="BM200" i="1"/>
  <c r="BL200" i="1"/>
  <c r="BP199" i="1"/>
  <c r="BO199" i="1"/>
  <c r="BN199" i="1"/>
  <c r="BM199" i="1"/>
  <c r="BL199" i="1"/>
  <c r="BP198" i="1"/>
  <c r="BO198" i="1"/>
  <c r="BN198" i="1"/>
  <c r="BM198" i="1"/>
  <c r="BL198" i="1"/>
  <c r="BP197" i="1"/>
  <c r="BO197" i="1"/>
  <c r="BN197" i="1"/>
  <c r="BM197" i="1"/>
  <c r="BL197" i="1"/>
  <c r="BP79" i="1"/>
  <c r="BO79" i="1"/>
  <c r="BN79" i="1"/>
  <c r="BM79" i="1"/>
  <c r="BL79" i="1"/>
  <c r="BP166" i="1"/>
  <c r="BO166" i="1"/>
  <c r="BN166" i="1"/>
  <c r="BM166" i="1"/>
  <c r="BL166" i="1"/>
  <c r="BP123" i="1"/>
  <c r="BO123" i="1"/>
  <c r="BN123" i="1"/>
  <c r="BM123" i="1"/>
  <c r="BL123" i="1"/>
  <c r="BP180" i="1"/>
  <c r="BO180" i="1"/>
  <c r="BN180" i="1"/>
  <c r="BM180" i="1"/>
  <c r="BL180" i="1"/>
  <c r="BP14" i="1"/>
  <c r="BO14" i="1"/>
  <c r="BN14" i="1"/>
  <c r="BM14" i="1"/>
  <c r="BL14" i="1"/>
  <c r="BP111" i="1"/>
  <c r="BO111" i="1"/>
  <c r="BN111" i="1"/>
  <c r="BM111" i="1"/>
  <c r="BL111" i="1"/>
  <c r="BP177" i="1"/>
  <c r="BO177" i="1"/>
  <c r="BN177" i="1"/>
  <c r="BM177" i="1"/>
  <c r="BL177" i="1"/>
  <c r="BP2" i="1"/>
  <c r="BO2" i="1"/>
  <c r="BN2" i="1"/>
  <c r="BM2" i="1"/>
  <c r="BL2" i="1"/>
  <c r="BP74" i="1"/>
  <c r="BO74" i="1"/>
  <c r="BN74" i="1"/>
  <c r="BM74" i="1"/>
  <c r="BL74" i="1"/>
  <c r="BP190" i="1"/>
  <c r="BO190" i="1"/>
  <c r="BN190" i="1"/>
  <c r="BM190" i="1"/>
  <c r="BL190" i="1"/>
  <c r="BP158" i="1"/>
  <c r="BO158" i="1"/>
  <c r="BN158" i="1"/>
  <c r="BM158" i="1"/>
  <c r="BL158" i="1"/>
  <c r="BP71" i="1"/>
  <c r="BO71" i="1"/>
  <c r="BN71" i="1"/>
  <c r="BM71" i="1"/>
  <c r="BL71" i="1"/>
  <c r="BP121" i="1"/>
  <c r="BO121" i="1"/>
  <c r="BN121" i="1"/>
  <c r="BM121" i="1"/>
  <c r="BL121" i="1"/>
  <c r="BP168" i="1"/>
  <c r="BO168" i="1"/>
  <c r="BN168" i="1"/>
  <c r="BM168" i="1"/>
  <c r="BL168" i="1"/>
  <c r="BP139" i="1"/>
  <c r="BO139" i="1"/>
  <c r="BN139" i="1"/>
  <c r="BM139" i="1"/>
  <c r="BL139" i="1"/>
  <c r="BP100" i="1"/>
  <c r="BO100" i="1"/>
  <c r="BN100" i="1"/>
  <c r="BM100" i="1"/>
  <c r="BL100" i="1"/>
  <c r="BP99" i="1"/>
  <c r="BO99" i="1"/>
  <c r="BN99" i="1"/>
  <c r="BM99" i="1"/>
  <c r="BL99" i="1"/>
  <c r="BP178" i="1"/>
  <c r="BO178" i="1"/>
  <c r="BN178" i="1"/>
  <c r="BM178" i="1"/>
  <c r="BL178" i="1"/>
  <c r="BP7" i="1"/>
  <c r="BO7" i="1"/>
  <c r="BN7" i="1"/>
  <c r="BM7" i="1"/>
  <c r="BL7" i="1"/>
  <c r="BP86" i="1"/>
  <c r="BO86" i="1"/>
  <c r="BN86" i="1"/>
  <c r="BM86" i="1"/>
  <c r="BL86" i="1"/>
  <c r="BP169" i="1"/>
  <c r="BO169" i="1"/>
  <c r="BN169" i="1"/>
  <c r="BM169" i="1"/>
  <c r="BL169" i="1"/>
  <c r="BP156" i="1"/>
  <c r="BO156" i="1"/>
  <c r="BN156" i="1"/>
  <c r="BM156" i="1"/>
  <c r="BL156" i="1"/>
  <c r="BP62" i="1"/>
  <c r="BO62" i="1"/>
  <c r="BN62" i="1"/>
  <c r="BM62" i="1"/>
  <c r="BL62" i="1"/>
  <c r="BP113" i="1"/>
  <c r="BO113" i="1"/>
  <c r="BN113" i="1"/>
  <c r="BM113" i="1"/>
  <c r="BL113" i="1"/>
  <c r="BP133" i="1"/>
  <c r="BO133" i="1"/>
  <c r="BN133" i="1"/>
  <c r="BM133" i="1"/>
  <c r="BL133" i="1"/>
  <c r="BP155" i="1"/>
  <c r="BO155" i="1"/>
  <c r="BN155" i="1"/>
  <c r="BM155" i="1"/>
  <c r="BL155" i="1"/>
  <c r="BP120" i="1"/>
  <c r="BO120" i="1"/>
  <c r="BN120" i="1"/>
  <c r="BM120" i="1"/>
  <c r="BL120" i="1"/>
  <c r="BP101" i="1"/>
  <c r="BO101" i="1"/>
  <c r="BN101" i="1"/>
  <c r="BM101" i="1"/>
  <c r="BL101" i="1"/>
  <c r="BP124" i="1"/>
  <c r="BO124" i="1"/>
  <c r="BN124" i="1"/>
  <c r="BM124" i="1"/>
  <c r="BL124" i="1"/>
  <c r="BP126" i="1"/>
  <c r="BO126" i="1"/>
  <c r="BN126" i="1"/>
  <c r="BM126" i="1"/>
  <c r="BL126" i="1"/>
  <c r="BP174" i="1"/>
  <c r="BO174" i="1"/>
  <c r="BN174" i="1"/>
  <c r="BM174" i="1"/>
  <c r="BL174" i="1"/>
  <c r="BP119" i="1"/>
  <c r="BO119" i="1"/>
  <c r="BN119" i="1"/>
  <c r="BM119" i="1"/>
  <c r="BL119" i="1"/>
  <c r="BP65" i="1"/>
  <c r="BO65" i="1"/>
  <c r="BN65" i="1"/>
  <c r="BM65" i="1"/>
  <c r="BL65" i="1"/>
  <c r="BP130" i="1"/>
  <c r="BO130" i="1"/>
  <c r="BN130" i="1"/>
  <c r="BM130" i="1"/>
  <c r="BL130" i="1"/>
  <c r="BP146" i="1"/>
  <c r="BO146" i="1"/>
  <c r="BN146" i="1"/>
  <c r="BM146" i="1"/>
  <c r="BL146" i="1"/>
  <c r="BP93" i="1"/>
  <c r="BO93" i="1"/>
  <c r="BN93" i="1"/>
  <c r="BM93" i="1"/>
  <c r="BL93" i="1"/>
  <c r="BP483" i="1"/>
  <c r="BO483" i="1"/>
  <c r="BN483" i="1"/>
  <c r="BM483" i="1"/>
  <c r="BL483" i="1"/>
  <c r="BP27" i="1"/>
  <c r="BO27" i="1"/>
  <c r="BN27" i="1"/>
  <c r="BM27" i="1"/>
  <c r="BL27" i="1"/>
  <c r="BP59" i="1"/>
  <c r="BO59" i="1"/>
  <c r="BN59" i="1"/>
  <c r="BM59" i="1"/>
  <c r="BL59" i="1"/>
  <c r="BP145" i="1"/>
  <c r="BO145" i="1"/>
  <c r="BN145" i="1"/>
  <c r="BM145" i="1"/>
  <c r="BL145" i="1"/>
  <c r="BP50" i="1"/>
  <c r="BO50" i="1"/>
  <c r="BN50" i="1"/>
  <c r="BM50" i="1"/>
  <c r="BL50" i="1"/>
  <c r="BP173" i="1"/>
  <c r="BO173" i="1"/>
  <c r="BN173" i="1"/>
  <c r="BM173" i="1"/>
  <c r="BL173" i="1"/>
  <c r="BP188" i="1"/>
  <c r="BO188" i="1"/>
  <c r="BN188" i="1"/>
  <c r="BM188" i="1"/>
  <c r="BL188" i="1"/>
  <c r="BP61" i="1"/>
  <c r="BO61" i="1"/>
  <c r="BN61" i="1"/>
  <c r="BM61" i="1"/>
  <c r="BL61" i="1"/>
  <c r="BP492" i="1"/>
  <c r="BO492" i="1"/>
  <c r="BN492" i="1"/>
  <c r="BM492" i="1"/>
  <c r="BL492" i="1"/>
  <c r="BP110" i="1"/>
  <c r="BO110" i="1"/>
  <c r="BN110" i="1"/>
  <c r="BM110" i="1"/>
  <c r="BL110" i="1"/>
  <c r="BP48" i="1"/>
  <c r="BO48" i="1"/>
  <c r="BN48" i="1"/>
  <c r="BM48" i="1"/>
  <c r="BL48" i="1"/>
  <c r="BP189" i="1"/>
  <c r="BO189" i="1"/>
  <c r="BN189" i="1"/>
  <c r="BM189" i="1"/>
  <c r="BL189" i="1"/>
  <c r="BP33" i="1"/>
  <c r="BO33" i="1"/>
  <c r="BN33" i="1"/>
  <c r="BM33" i="1"/>
  <c r="BL33" i="1"/>
  <c r="BP159" i="1"/>
  <c r="BO159" i="1"/>
  <c r="BN159" i="1"/>
  <c r="BM159" i="1"/>
  <c r="BL159" i="1"/>
  <c r="BP34" i="1"/>
  <c r="BO34" i="1"/>
  <c r="BN34" i="1"/>
  <c r="BM34" i="1"/>
  <c r="BL34" i="1"/>
  <c r="BP196" i="1"/>
  <c r="BO196" i="1"/>
  <c r="BN196" i="1"/>
  <c r="BM196" i="1"/>
  <c r="BL196" i="1"/>
  <c r="BP70" i="1"/>
  <c r="BO70" i="1"/>
  <c r="BN70" i="1"/>
  <c r="BM70" i="1"/>
  <c r="BL70" i="1"/>
  <c r="BP91" i="1"/>
  <c r="BO91" i="1"/>
  <c r="BN91" i="1"/>
  <c r="BM91" i="1"/>
  <c r="BL91" i="1"/>
  <c r="BP150" i="1"/>
  <c r="BO150" i="1"/>
  <c r="BN150" i="1"/>
  <c r="BM150" i="1"/>
  <c r="BL150" i="1"/>
  <c r="BP21" i="1"/>
  <c r="BO21" i="1"/>
  <c r="BN21" i="1"/>
  <c r="BM21" i="1"/>
  <c r="BL21" i="1"/>
  <c r="BP102" i="1"/>
  <c r="BO102" i="1"/>
  <c r="BN102" i="1"/>
  <c r="BM102" i="1"/>
  <c r="BL102" i="1"/>
  <c r="BP47" i="1"/>
  <c r="BO47" i="1"/>
  <c r="BN47" i="1"/>
  <c r="BM47" i="1"/>
  <c r="BL47" i="1"/>
  <c r="BP106" i="1"/>
  <c r="BO106" i="1"/>
  <c r="BN106" i="1"/>
  <c r="BM106" i="1"/>
  <c r="BL106" i="1"/>
  <c r="BP163" i="1"/>
  <c r="BO163" i="1"/>
  <c r="BN163" i="1"/>
  <c r="BM163" i="1"/>
  <c r="BL163" i="1"/>
  <c r="BP44" i="1"/>
  <c r="BO44" i="1"/>
  <c r="BN44" i="1"/>
  <c r="BM44" i="1"/>
  <c r="BL44" i="1"/>
  <c r="BP170" i="1"/>
  <c r="BO170" i="1"/>
  <c r="BN170" i="1"/>
  <c r="BM170" i="1"/>
  <c r="BL170" i="1"/>
  <c r="BP19" i="1"/>
  <c r="BO19" i="1"/>
  <c r="BN19" i="1"/>
  <c r="BM19" i="1"/>
  <c r="BL19" i="1"/>
  <c r="BP32" i="1"/>
  <c r="BO32" i="1"/>
  <c r="BN32" i="1"/>
  <c r="BM32" i="1"/>
  <c r="BL32" i="1"/>
  <c r="BP185" i="1"/>
  <c r="BO185" i="1"/>
  <c r="BN185" i="1"/>
  <c r="BM185" i="1"/>
  <c r="BL185" i="1"/>
  <c r="BP72" i="1"/>
  <c r="BO72" i="1"/>
  <c r="BN72" i="1"/>
  <c r="BM72" i="1"/>
  <c r="BL72" i="1"/>
  <c r="BP83" i="1"/>
  <c r="BO83" i="1"/>
  <c r="BN83" i="1"/>
  <c r="BM83" i="1"/>
  <c r="BL83" i="1"/>
  <c r="BP17" i="1"/>
  <c r="BO17" i="1"/>
  <c r="BN17" i="1"/>
  <c r="BM17" i="1"/>
  <c r="BL17" i="1"/>
  <c r="BP183" i="1"/>
  <c r="BO183" i="1"/>
  <c r="BN183" i="1"/>
  <c r="BM183" i="1"/>
  <c r="BL183" i="1"/>
  <c r="BP51" i="1"/>
  <c r="BO51" i="1"/>
  <c r="BN51" i="1"/>
  <c r="BM51" i="1"/>
  <c r="BL51" i="1"/>
  <c r="BP20" i="1"/>
  <c r="BO20" i="1"/>
  <c r="BN20" i="1"/>
  <c r="BM20" i="1"/>
  <c r="BL20" i="1"/>
  <c r="BP143" i="1"/>
  <c r="BO143" i="1"/>
  <c r="BN143" i="1"/>
  <c r="BM143" i="1"/>
  <c r="BL143" i="1"/>
  <c r="BP96" i="1"/>
  <c r="BO96" i="1"/>
  <c r="BN96" i="1"/>
  <c r="BM96" i="1"/>
  <c r="BL96" i="1"/>
  <c r="BP82" i="1"/>
  <c r="BO82" i="1"/>
  <c r="BN82" i="1"/>
  <c r="BM82" i="1"/>
  <c r="BL82" i="1"/>
  <c r="BP29" i="1"/>
  <c r="BO29" i="1"/>
  <c r="BN29" i="1"/>
  <c r="BM29" i="1"/>
  <c r="BL29" i="1"/>
  <c r="BP135" i="1"/>
  <c r="BO135" i="1"/>
  <c r="BN135" i="1"/>
  <c r="BM135" i="1"/>
  <c r="BL135" i="1"/>
  <c r="BP491" i="1"/>
  <c r="BO491" i="1"/>
  <c r="BN491" i="1"/>
  <c r="BM491" i="1"/>
  <c r="BL491" i="1"/>
  <c r="BP9" i="1"/>
  <c r="BO9" i="1"/>
  <c r="BN9" i="1"/>
  <c r="BM9" i="1"/>
  <c r="BL9" i="1"/>
  <c r="BP53" i="1"/>
  <c r="BO53" i="1"/>
  <c r="BN53" i="1"/>
  <c r="BM53" i="1"/>
  <c r="BL53" i="1"/>
  <c r="BP171" i="1"/>
  <c r="BO171" i="1"/>
  <c r="BN171" i="1"/>
  <c r="BM171" i="1"/>
  <c r="BL171" i="1"/>
  <c r="BP108" i="1"/>
  <c r="BO108" i="1"/>
  <c r="BN108" i="1"/>
  <c r="BM108" i="1"/>
  <c r="BL108" i="1"/>
  <c r="BP76" i="1"/>
  <c r="BO76" i="1"/>
  <c r="BN76" i="1"/>
  <c r="BM76" i="1"/>
  <c r="BL76" i="1"/>
  <c r="BP8" i="1"/>
  <c r="BO8" i="1"/>
  <c r="BN8" i="1"/>
  <c r="BM8" i="1"/>
  <c r="BL8" i="1"/>
  <c r="BP45" i="1"/>
  <c r="BO45" i="1"/>
  <c r="BN45" i="1"/>
  <c r="BM45" i="1"/>
  <c r="BL45" i="1"/>
  <c r="BP118" i="1"/>
  <c r="BO118" i="1"/>
  <c r="BN118" i="1"/>
  <c r="BM118" i="1"/>
  <c r="BL118" i="1"/>
  <c r="BP479" i="1"/>
  <c r="BO479" i="1"/>
  <c r="BN479" i="1"/>
  <c r="BM479" i="1"/>
  <c r="BL479" i="1"/>
  <c r="BP488" i="1"/>
  <c r="BO488" i="1"/>
  <c r="BN488" i="1"/>
  <c r="BM488" i="1"/>
  <c r="BL488" i="1"/>
  <c r="BP73" i="1"/>
  <c r="BO73" i="1"/>
  <c r="BN73" i="1"/>
  <c r="BM73" i="1"/>
  <c r="BL73" i="1"/>
  <c r="BP179" i="1"/>
  <c r="BO179" i="1"/>
  <c r="BN179" i="1"/>
  <c r="BM179" i="1"/>
  <c r="BL179" i="1"/>
  <c r="BP490" i="1"/>
  <c r="BO490" i="1"/>
  <c r="BN490" i="1"/>
  <c r="BM490" i="1"/>
  <c r="BL490" i="1"/>
  <c r="BP95" i="1"/>
  <c r="BO95" i="1"/>
  <c r="BN95" i="1"/>
  <c r="BM95" i="1"/>
  <c r="BL95" i="1"/>
  <c r="BP69" i="1"/>
  <c r="BO69" i="1"/>
  <c r="BN69" i="1"/>
  <c r="BM69" i="1"/>
  <c r="BL69" i="1"/>
  <c r="BP477" i="1"/>
  <c r="BO477" i="1"/>
  <c r="BN477" i="1"/>
  <c r="BM477" i="1"/>
  <c r="BL477" i="1"/>
  <c r="BP114" i="1"/>
  <c r="BO114" i="1"/>
  <c r="BN114" i="1"/>
  <c r="BM114" i="1"/>
  <c r="BL114" i="1"/>
  <c r="BP35" i="1"/>
  <c r="BO35" i="1"/>
  <c r="BN35" i="1"/>
  <c r="BM35" i="1"/>
  <c r="BL35" i="1"/>
  <c r="BP54" i="1"/>
  <c r="BO54" i="1"/>
  <c r="BN54" i="1"/>
  <c r="BM54" i="1"/>
  <c r="BL54" i="1"/>
  <c r="BP486" i="1"/>
  <c r="BO486" i="1"/>
  <c r="BN486" i="1"/>
  <c r="BM486" i="1"/>
  <c r="BL486" i="1"/>
  <c r="BP97" i="1"/>
  <c r="BO97" i="1"/>
  <c r="BN97" i="1"/>
  <c r="BM97" i="1"/>
  <c r="BL97" i="1"/>
  <c r="BP182" i="1"/>
  <c r="BO182" i="1"/>
  <c r="BN182" i="1"/>
  <c r="BM182" i="1"/>
  <c r="BL182" i="1"/>
  <c r="BP5" i="1"/>
  <c r="BO5" i="1"/>
  <c r="BN5" i="1"/>
  <c r="BM5" i="1"/>
  <c r="BL5" i="1"/>
  <c r="BP66" i="1"/>
  <c r="BO66" i="1"/>
  <c r="BN66" i="1"/>
  <c r="BM66" i="1"/>
  <c r="BL66" i="1"/>
  <c r="BP31" i="1"/>
  <c r="BO31" i="1"/>
  <c r="BN31" i="1"/>
  <c r="BM31" i="1"/>
  <c r="BL31" i="1"/>
  <c r="BP137" i="1"/>
  <c r="BO137" i="1"/>
  <c r="BN137" i="1"/>
  <c r="BM137" i="1"/>
  <c r="BL137" i="1"/>
  <c r="BP22" i="1"/>
  <c r="BO22" i="1"/>
  <c r="BN22" i="1"/>
  <c r="BM22" i="1"/>
  <c r="BL22" i="1"/>
  <c r="BP36" i="1"/>
  <c r="BO36" i="1"/>
  <c r="BN36" i="1"/>
  <c r="BM36" i="1"/>
  <c r="BL36" i="1"/>
  <c r="BP109" i="1"/>
  <c r="BO109" i="1"/>
  <c r="BN109" i="1"/>
  <c r="BM109" i="1"/>
  <c r="BL109" i="1"/>
  <c r="BP140" i="1"/>
  <c r="BO140" i="1"/>
  <c r="BN140" i="1"/>
  <c r="BM140" i="1"/>
  <c r="BL140" i="1"/>
  <c r="BP10" i="1"/>
  <c r="BO10" i="1"/>
  <c r="BN10" i="1"/>
  <c r="BM10" i="1"/>
  <c r="BL10" i="1"/>
  <c r="BP6" i="1"/>
  <c r="BO6" i="1"/>
  <c r="BN6" i="1"/>
  <c r="BM6" i="1"/>
  <c r="BL6" i="1"/>
  <c r="BP18" i="1"/>
  <c r="BO18" i="1"/>
  <c r="BN18" i="1"/>
  <c r="BM18" i="1"/>
  <c r="BL18" i="1"/>
  <c r="BP157" i="1"/>
  <c r="BO157" i="1"/>
  <c r="BN157" i="1"/>
  <c r="BM157" i="1"/>
  <c r="BL157" i="1"/>
  <c r="BP25" i="1"/>
  <c r="BO25" i="1"/>
  <c r="BN25" i="1"/>
  <c r="BM25" i="1"/>
  <c r="BL25" i="1"/>
  <c r="BP56" i="1"/>
  <c r="BO56" i="1"/>
  <c r="BN56" i="1"/>
  <c r="BM56" i="1"/>
  <c r="BL56" i="1"/>
  <c r="BP103" i="1"/>
  <c r="BO103" i="1"/>
  <c r="BN103" i="1"/>
  <c r="BM103" i="1"/>
  <c r="BL103" i="1"/>
  <c r="BP94" i="1"/>
  <c r="BO94" i="1"/>
  <c r="BN94" i="1"/>
  <c r="BM94" i="1"/>
  <c r="BL94" i="1"/>
  <c r="BP49" i="1"/>
  <c r="BO49" i="1"/>
  <c r="BN49" i="1"/>
  <c r="BM49" i="1"/>
  <c r="BL49" i="1"/>
  <c r="BP131" i="1"/>
  <c r="BO131" i="1"/>
  <c r="BN131" i="1"/>
  <c r="BM131" i="1"/>
  <c r="BL131" i="1"/>
  <c r="BP132" i="1"/>
  <c r="BO132" i="1"/>
  <c r="BN132" i="1"/>
  <c r="BM132" i="1"/>
  <c r="BL132" i="1"/>
  <c r="BP181" i="1"/>
  <c r="BO181" i="1"/>
  <c r="BN181" i="1"/>
  <c r="BM181" i="1"/>
  <c r="BL181" i="1"/>
  <c r="BP107" i="1"/>
  <c r="BO107" i="1"/>
  <c r="BN107" i="1"/>
  <c r="BM107" i="1"/>
  <c r="BL107" i="1"/>
  <c r="BP26" i="1"/>
  <c r="BO26" i="1"/>
  <c r="BN26" i="1"/>
  <c r="BM26" i="1"/>
  <c r="BL26" i="1"/>
  <c r="BP60" i="1"/>
  <c r="BO60" i="1"/>
  <c r="BN60" i="1"/>
  <c r="BM60" i="1"/>
  <c r="BL60" i="1"/>
  <c r="BP40" i="1"/>
  <c r="BO40" i="1"/>
  <c r="BN40" i="1"/>
  <c r="BM40" i="1"/>
  <c r="BL40" i="1"/>
  <c r="BP87" i="1"/>
  <c r="BO87" i="1"/>
  <c r="BN87" i="1"/>
  <c r="BM87" i="1"/>
  <c r="BL87" i="1"/>
  <c r="BP80" i="1"/>
  <c r="BO80" i="1"/>
  <c r="BN80" i="1"/>
  <c r="BM80" i="1"/>
  <c r="BL80" i="1"/>
  <c r="BP165" i="1"/>
  <c r="BO165" i="1"/>
  <c r="BN165" i="1"/>
  <c r="BM165" i="1"/>
  <c r="BL165" i="1"/>
  <c r="BP480" i="1"/>
  <c r="BO480" i="1"/>
  <c r="BN480" i="1"/>
  <c r="BM480" i="1"/>
  <c r="BL480" i="1"/>
  <c r="BP77" i="1"/>
  <c r="BO77" i="1"/>
  <c r="BN77" i="1"/>
  <c r="BM77" i="1"/>
  <c r="BL77" i="1"/>
  <c r="BP64" i="1"/>
  <c r="BO64" i="1"/>
  <c r="BN64" i="1"/>
  <c r="BM64" i="1"/>
  <c r="BL64" i="1"/>
  <c r="BP128" i="1"/>
  <c r="BO128" i="1"/>
  <c r="BN128" i="1"/>
  <c r="BM128" i="1"/>
  <c r="BL128" i="1"/>
  <c r="BP11" i="1"/>
  <c r="BO11" i="1"/>
  <c r="BN11" i="1"/>
  <c r="BM11" i="1"/>
  <c r="BL11" i="1"/>
  <c r="BP68" i="1"/>
  <c r="BO68" i="1"/>
  <c r="BN68" i="1"/>
  <c r="BM68" i="1"/>
  <c r="BL68" i="1"/>
  <c r="BP105" i="1"/>
  <c r="BO105" i="1"/>
  <c r="BN105" i="1"/>
  <c r="BM105" i="1"/>
  <c r="BL105" i="1"/>
  <c r="BP142" i="1"/>
  <c r="BO142" i="1"/>
  <c r="BN142" i="1"/>
  <c r="BM142" i="1"/>
  <c r="BL142" i="1"/>
  <c r="BP160" i="1"/>
  <c r="BO160" i="1"/>
  <c r="BN160" i="1"/>
  <c r="BM160" i="1"/>
  <c r="BL160" i="1"/>
  <c r="BP152" i="1"/>
  <c r="BO152" i="1"/>
  <c r="BN152" i="1"/>
  <c r="BM152" i="1"/>
  <c r="BL152" i="1"/>
  <c r="BP127" i="1"/>
  <c r="BO127" i="1"/>
  <c r="BN127" i="1"/>
  <c r="BM127" i="1"/>
  <c r="BL127" i="1"/>
  <c r="BP194" i="1"/>
  <c r="BO194" i="1"/>
  <c r="BN194" i="1"/>
  <c r="BM194" i="1"/>
  <c r="BL194" i="1"/>
  <c r="BP12" i="1"/>
  <c r="BO12" i="1"/>
  <c r="BN12" i="1"/>
  <c r="BM12" i="1"/>
  <c r="BL12" i="1"/>
  <c r="BP15" i="1"/>
  <c r="BO15" i="1"/>
  <c r="BN15" i="1"/>
  <c r="BM15" i="1"/>
  <c r="BL15" i="1"/>
  <c r="BP481" i="1"/>
  <c r="BO481" i="1"/>
  <c r="BN481" i="1"/>
  <c r="BM481" i="1"/>
  <c r="BL481" i="1"/>
  <c r="BP193" i="1"/>
  <c r="BO193" i="1"/>
  <c r="BN193" i="1"/>
  <c r="BM193" i="1"/>
  <c r="BL193" i="1"/>
  <c r="BP484" i="1"/>
  <c r="BO484" i="1"/>
  <c r="BN484" i="1"/>
  <c r="BM484" i="1"/>
  <c r="BL484" i="1"/>
  <c r="BP38" i="1"/>
  <c r="BO38" i="1"/>
  <c r="BN38" i="1"/>
  <c r="BM38" i="1"/>
  <c r="BL38" i="1"/>
  <c r="BP175" i="1"/>
  <c r="BO175" i="1"/>
  <c r="BN175" i="1"/>
  <c r="BM175" i="1"/>
  <c r="BL175" i="1"/>
  <c r="BP153" i="1"/>
  <c r="BO153" i="1"/>
  <c r="BN153" i="1"/>
  <c r="BM153" i="1"/>
  <c r="BL153" i="1"/>
  <c r="BP164" i="1"/>
  <c r="BO164" i="1"/>
  <c r="BN164" i="1"/>
  <c r="BM164" i="1"/>
  <c r="BL164" i="1"/>
  <c r="BP58" i="1"/>
  <c r="BO58" i="1"/>
  <c r="BN58" i="1"/>
  <c r="BM58" i="1"/>
  <c r="BL58" i="1"/>
  <c r="BP23" i="1"/>
  <c r="BO23" i="1"/>
  <c r="BN23" i="1"/>
  <c r="BM23" i="1"/>
  <c r="BL23" i="1"/>
  <c r="BP13" i="1"/>
  <c r="BO13" i="1"/>
  <c r="BN13" i="1"/>
  <c r="BM13" i="1"/>
  <c r="BL13" i="1"/>
  <c r="BP151" i="1"/>
  <c r="BO151" i="1"/>
  <c r="BN151" i="1"/>
  <c r="BM151" i="1"/>
  <c r="BL151" i="1"/>
  <c r="BP184" i="1"/>
  <c r="BO184" i="1"/>
  <c r="BN184" i="1"/>
  <c r="BM184" i="1"/>
  <c r="BL184" i="1"/>
  <c r="BP28" i="1"/>
  <c r="BO28" i="1"/>
  <c r="BN28" i="1"/>
  <c r="BM28" i="1"/>
  <c r="BL28" i="1"/>
  <c r="BP85" i="1"/>
  <c r="BO85" i="1"/>
  <c r="BN85" i="1"/>
  <c r="BM85" i="1"/>
  <c r="BL85" i="1"/>
  <c r="BP89" i="1"/>
  <c r="BO89" i="1"/>
  <c r="BN89" i="1"/>
  <c r="BM89" i="1"/>
  <c r="BL89" i="1"/>
  <c r="BP78" i="1"/>
  <c r="BO78" i="1"/>
  <c r="BN78" i="1"/>
  <c r="BM78" i="1"/>
  <c r="BL78" i="1"/>
  <c r="BP88" i="1"/>
  <c r="BO88" i="1"/>
  <c r="BN88" i="1"/>
  <c r="BM88" i="1"/>
  <c r="BL88" i="1"/>
  <c r="BP192" i="1"/>
  <c r="BO192" i="1"/>
  <c r="BN192" i="1"/>
  <c r="BM192" i="1"/>
  <c r="BL192" i="1"/>
  <c r="BP489" i="1"/>
  <c r="BO489" i="1"/>
  <c r="BN489" i="1"/>
  <c r="BM489" i="1"/>
  <c r="BL489" i="1"/>
  <c r="BP57" i="1"/>
  <c r="BO57" i="1"/>
  <c r="BN57" i="1"/>
  <c r="BM57" i="1"/>
  <c r="BL57" i="1"/>
  <c r="BP186" i="1"/>
  <c r="BO186" i="1"/>
  <c r="BN186" i="1"/>
  <c r="BM186" i="1"/>
  <c r="BL186" i="1"/>
  <c r="BP191" i="1"/>
  <c r="BO191" i="1"/>
  <c r="BN191" i="1"/>
  <c r="BM191" i="1"/>
  <c r="BL191" i="1"/>
  <c r="BP148" i="1"/>
  <c r="BO148" i="1"/>
  <c r="BN148" i="1"/>
  <c r="BM148" i="1"/>
  <c r="BL148" i="1"/>
  <c r="BP104" i="1"/>
  <c r="BO104" i="1"/>
  <c r="BN104" i="1"/>
  <c r="BM104" i="1"/>
  <c r="BL104" i="1"/>
  <c r="BP39" i="1"/>
  <c r="BO39" i="1"/>
  <c r="BN39" i="1"/>
  <c r="BM39" i="1"/>
  <c r="BL39" i="1"/>
  <c r="BP42" i="1"/>
  <c r="BO42" i="1"/>
  <c r="BN42" i="1"/>
  <c r="BM42" i="1"/>
  <c r="BL42" i="1"/>
  <c r="BP41" i="1"/>
  <c r="BO41" i="1"/>
  <c r="BN41" i="1"/>
  <c r="BM41" i="1"/>
  <c r="BL41" i="1"/>
  <c r="BP154" i="1"/>
  <c r="BO154" i="1"/>
  <c r="BN154" i="1"/>
  <c r="BM154" i="1"/>
  <c r="BL154" i="1"/>
  <c r="BP24" i="1"/>
  <c r="BO24" i="1"/>
  <c r="BN24" i="1"/>
  <c r="BM24" i="1"/>
  <c r="BL24" i="1"/>
  <c r="BP167" i="1"/>
  <c r="BO167" i="1"/>
  <c r="BN167" i="1"/>
  <c r="BM167" i="1"/>
  <c r="BL167" i="1"/>
  <c r="BP147" i="1"/>
  <c r="BO147" i="1"/>
  <c r="BN147" i="1"/>
  <c r="BM147" i="1"/>
  <c r="BL147" i="1"/>
  <c r="BP195" i="1"/>
  <c r="BO195" i="1"/>
  <c r="BN195" i="1"/>
  <c r="BM195" i="1"/>
  <c r="BL195" i="1"/>
  <c r="BP37" i="1"/>
  <c r="BO37" i="1"/>
  <c r="BN37" i="1"/>
  <c r="BM37" i="1"/>
  <c r="BL37" i="1"/>
  <c r="BP55" i="1"/>
  <c r="BO55" i="1"/>
  <c r="BN55" i="1"/>
  <c r="BM55" i="1"/>
  <c r="BL55" i="1"/>
  <c r="BP90" i="1"/>
  <c r="BO90" i="1"/>
  <c r="BN90" i="1"/>
  <c r="BM90" i="1"/>
  <c r="BL90" i="1"/>
  <c r="BP129" i="1"/>
  <c r="BO129" i="1"/>
  <c r="BN129" i="1"/>
  <c r="BM129" i="1"/>
  <c r="BL129" i="1"/>
  <c r="BP75" i="1"/>
  <c r="BO75" i="1"/>
  <c r="BN75" i="1"/>
  <c r="BM75" i="1"/>
  <c r="BL75" i="1"/>
  <c r="BP112" i="1"/>
  <c r="BO112" i="1"/>
  <c r="BN112" i="1"/>
  <c r="BM112" i="1"/>
  <c r="BL112" i="1"/>
  <c r="BP16" i="1"/>
  <c r="BO16" i="1"/>
  <c r="BN16" i="1"/>
  <c r="BM16" i="1"/>
  <c r="BL16" i="1"/>
  <c r="BP3" i="1"/>
  <c r="BO3" i="1"/>
  <c r="BN3" i="1"/>
  <c r="BM3" i="1"/>
  <c r="BL3" i="1"/>
  <c r="BP187" i="1"/>
  <c r="BO187" i="1"/>
  <c r="BN187" i="1"/>
  <c r="BM187" i="1"/>
  <c r="BL187" i="1"/>
  <c r="BP92" i="1"/>
  <c r="BO92" i="1"/>
  <c r="BN92" i="1"/>
  <c r="BM92" i="1"/>
  <c r="BL92" i="1"/>
  <c r="BP122" i="1"/>
  <c r="BO122" i="1"/>
  <c r="BN122" i="1"/>
  <c r="BM122" i="1"/>
  <c r="BL122" i="1"/>
  <c r="BP476" i="1"/>
  <c r="BO476" i="1"/>
  <c r="BN476" i="1"/>
  <c r="BM476" i="1"/>
  <c r="BL476" i="1"/>
  <c r="BP485" i="1"/>
  <c r="BO485" i="1"/>
  <c r="BN485" i="1"/>
  <c r="BM485" i="1"/>
  <c r="BL485" i="1"/>
  <c r="BP176" i="1"/>
  <c r="BO176" i="1"/>
  <c r="BN176" i="1"/>
  <c r="BM176" i="1"/>
  <c r="BL176" i="1"/>
  <c r="BP141" i="1"/>
  <c r="BO141" i="1"/>
  <c r="BN141" i="1"/>
  <c r="BM141" i="1"/>
  <c r="BL141" i="1"/>
  <c r="BP46" i="1"/>
  <c r="BO46" i="1"/>
  <c r="BN46" i="1"/>
  <c r="BM46" i="1"/>
  <c r="BL46" i="1"/>
  <c r="BP149" i="1"/>
  <c r="BO149" i="1"/>
  <c r="BN149" i="1"/>
  <c r="BM149" i="1"/>
  <c r="BL149" i="1"/>
  <c r="BP161" i="1"/>
  <c r="BO161" i="1"/>
  <c r="BN161" i="1"/>
  <c r="BM161" i="1"/>
  <c r="BL161" i="1"/>
  <c r="BP162" i="1"/>
  <c r="BO162" i="1"/>
  <c r="BN162" i="1"/>
  <c r="BM162" i="1"/>
  <c r="BL162" i="1"/>
  <c r="BP475" i="1"/>
  <c r="BO475" i="1"/>
  <c r="BN475" i="1"/>
  <c r="BM475" i="1"/>
  <c r="BL475" i="1"/>
  <c r="BP43" i="1"/>
  <c r="BO43" i="1"/>
  <c r="BN43" i="1"/>
  <c r="BM43" i="1"/>
  <c r="BL43" i="1"/>
  <c r="BP98" i="1"/>
  <c r="BO98" i="1"/>
  <c r="BN98" i="1"/>
  <c r="BM98" i="1"/>
  <c r="BL98" i="1"/>
  <c r="BP482" i="1"/>
  <c r="BO482" i="1"/>
  <c r="BN482" i="1"/>
  <c r="BM482" i="1"/>
  <c r="BL482" i="1"/>
  <c r="BP67" i="1"/>
  <c r="BO67" i="1"/>
  <c r="BN67" i="1"/>
  <c r="BM67" i="1"/>
  <c r="BL67" i="1"/>
  <c r="BP125" i="1"/>
  <c r="BO125" i="1"/>
  <c r="BN125" i="1"/>
  <c r="BM125" i="1"/>
  <c r="BL125" i="1"/>
  <c r="BP138" i="1"/>
  <c r="BO138" i="1"/>
  <c r="BN138" i="1"/>
  <c r="BL138" i="1"/>
  <c r="BP134" i="1"/>
  <c r="BO134" i="1"/>
  <c r="BN134" i="1"/>
  <c r="BM134" i="1"/>
  <c r="BL134" i="1"/>
  <c r="BP116" i="1"/>
  <c r="BO116" i="1"/>
  <c r="BN116" i="1"/>
  <c r="BM116" i="1"/>
  <c r="BL116" i="1"/>
  <c r="BP84" i="1"/>
  <c r="BO84" i="1"/>
  <c r="BN84" i="1"/>
  <c r="BM84" i="1"/>
  <c r="BL84" i="1"/>
  <c r="BP117" i="1"/>
  <c r="BO117" i="1"/>
  <c r="BN117" i="1"/>
  <c r="BM117" i="1"/>
  <c r="BL117" i="1"/>
  <c r="BP81" i="1"/>
  <c r="BO81" i="1"/>
  <c r="BN81" i="1"/>
  <c r="BM81" i="1"/>
  <c r="BL81" i="1"/>
  <c r="BP52" i="1"/>
  <c r="BO52" i="1"/>
  <c r="BN52" i="1"/>
  <c r="BM52" i="1"/>
  <c r="BL52" i="1"/>
  <c r="BP487" i="1"/>
  <c r="BO487" i="1"/>
  <c r="BN487" i="1"/>
  <c r="BM487" i="1"/>
  <c r="BL487" i="1"/>
  <c r="BP30" i="1"/>
  <c r="BO30" i="1"/>
  <c r="BN30" i="1"/>
  <c r="BM30" i="1"/>
  <c r="BL30" i="1"/>
  <c r="BP172" i="1"/>
  <c r="BO172" i="1"/>
  <c r="BN172" i="1"/>
  <c r="BM172" i="1"/>
  <c r="BL172" i="1"/>
  <c r="BP136" i="1"/>
  <c r="BO136" i="1"/>
  <c r="BN136" i="1"/>
  <c r="BM136" i="1"/>
  <c r="BL136" i="1"/>
  <c r="BP144" i="1"/>
  <c r="BO144" i="1"/>
  <c r="BN144" i="1"/>
  <c r="BM144" i="1"/>
  <c r="BL144" i="1"/>
  <c r="BP63" i="1"/>
  <c r="BO63" i="1"/>
  <c r="BN63" i="1"/>
  <c r="BM63" i="1"/>
  <c r="BL63" i="1"/>
  <c r="BP493" i="1"/>
  <c r="BO493" i="1"/>
  <c r="BN493" i="1"/>
  <c r="BM493" i="1"/>
  <c r="BL493" i="1"/>
  <c r="BP4" i="1"/>
  <c r="BO4" i="1"/>
  <c r="BN4" i="1"/>
  <c r="BM4" i="1"/>
  <c r="BL4" i="1"/>
  <c r="BP478" i="1"/>
  <c r="BO478" i="1"/>
  <c r="BN478" i="1"/>
  <c r="BM478" i="1"/>
  <c r="BL478" i="1"/>
  <c r="BO115" i="1"/>
  <c r="BN115" i="1"/>
  <c r="BM115" i="1"/>
  <c r="BQ474" i="1"/>
  <c r="BQ473" i="1"/>
  <c r="BQ472" i="1"/>
  <c r="BQ471" i="1"/>
  <c r="BQ470" i="1"/>
  <c r="BQ469" i="1"/>
  <c r="BQ468" i="1"/>
  <c r="BQ467" i="1"/>
  <c r="BQ466" i="1"/>
  <c r="BQ465" i="1"/>
  <c r="BQ464" i="1"/>
  <c r="BQ463" i="1"/>
  <c r="BQ462" i="1"/>
  <c r="BQ461" i="1"/>
  <c r="BQ460" i="1"/>
  <c r="BQ459" i="1"/>
  <c r="BQ458" i="1"/>
  <c r="BQ457" i="1"/>
  <c r="BQ456" i="1"/>
  <c r="BQ455" i="1"/>
  <c r="BQ454" i="1"/>
  <c r="BQ453" i="1"/>
  <c r="BQ452" i="1"/>
  <c r="BQ451" i="1"/>
  <c r="BQ450" i="1"/>
  <c r="BQ449" i="1"/>
  <c r="BQ448" i="1"/>
  <c r="BQ447" i="1"/>
  <c r="BQ446" i="1"/>
  <c r="BQ445" i="1"/>
  <c r="BQ444" i="1"/>
  <c r="BQ443" i="1"/>
  <c r="BQ442" i="1"/>
  <c r="BQ441" i="1"/>
  <c r="BQ440" i="1"/>
  <c r="BQ439" i="1"/>
  <c r="BQ438" i="1"/>
  <c r="BQ437" i="1"/>
  <c r="BQ436" i="1"/>
  <c r="BQ435" i="1"/>
  <c r="BQ434" i="1"/>
  <c r="BQ433" i="1"/>
  <c r="BQ432" i="1"/>
  <c r="BQ431" i="1"/>
  <c r="BQ430" i="1"/>
  <c r="BQ429" i="1"/>
  <c r="BQ428" i="1"/>
  <c r="BQ427" i="1"/>
  <c r="BQ426" i="1"/>
  <c r="BQ425" i="1"/>
  <c r="BQ424" i="1"/>
  <c r="BQ423" i="1"/>
  <c r="BQ422" i="1"/>
  <c r="BQ421" i="1"/>
  <c r="BQ420" i="1"/>
  <c r="BQ419" i="1"/>
  <c r="BQ418" i="1"/>
  <c r="BQ417" i="1"/>
  <c r="BQ416" i="1"/>
  <c r="BQ415" i="1"/>
  <c r="BQ414" i="1"/>
  <c r="BQ413" i="1"/>
  <c r="BQ412" i="1"/>
  <c r="BQ411" i="1"/>
  <c r="BQ410" i="1"/>
  <c r="BQ409" i="1"/>
  <c r="BQ408" i="1"/>
  <c r="BQ407" i="1"/>
  <c r="BQ406" i="1"/>
  <c r="BQ405" i="1"/>
  <c r="BQ404" i="1"/>
  <c r="BQ403" i="1"/>
  <c r="BQ402" i="1"/>
  <c r="BQ401" i="1"/>
  <c r="BQ400" i="1"/>
  <c r="BQ399" i="1"/>
  <c r="BQ398" i="1"/>
  <c r="BQ397" i="1"/>
  <c r="BQ396" i="1"/>
  <c r="BQ395" i="1"/>
  <c r="BQ394" i="1"/>
  <c r="BQ393" i="1"/>
  <c r="BQ392" i="1"/>
  <c r="BQ391" i="1"/>
  <c r="BQ390" i="1"/>
  <c r="BQ389" i="1"/>
  <c r="BQ388" i="1"/>
  <c r="BQ387" i="1"/>
  <c r="BQ386" i="1"/>
  <c r="BQ385" i="1"/>
  <c r="BQ384" i="1"/>
  <c r="BQ383" i="1"/>
  <c r="BQ382" i="1"/>
  <c r="BQ381" i="1"/>
  <c r="BQ380" i="1"/>
  <c r="BQ379" i="1"/>
  <c r="BQ378" i="1"/>
  <c r="BQ377" i="1"/>
  <c r="BQ376" i="1"/>
  <c r="BQ375" i="1"/>
  <c r="BQ374" i="1"/>
  <c r="BQ373" i="1"/>
  <c r="BQ372" i="1"/>
  <c r="BQ371" i="1"/>
  <c r="BQ370" i="1"/>
  <c r="BQ369" i="1"/>
  <c r="BQ368" i="1"/>
  <c r="BQ367" i="1"/>
  <c r="BQ366" i="1"/>
  <c r="BQ365" i="1"/>
  <c r="BQ364" i="1"/>
  <c r="BQ363" i="1"/>
  <c r="BQ362" i="1"/>
  <c r="BQ361" i="1"/>
  <c r="BQ360" i="1"/>
  <c r="BQ359" i="1"/>
  <c r="BQ358" i="1"/>
  <c r="BQ357" i="1"/>
  <c r="BQ356" i="1"/>
  <c r="BQ355" i="1"/>
  <c r="BQ354" i="1"/>
  <c r="BQ353" i="1"/>
  <c r="BQ352" i="1"/>
  <c r="BQ351" i="1"/>
  <c r="BQ350" i="1"/>
  <c r="BQ349" i="1"/>
  <c r="BQ348" i="1"/>
  <c r="BQ347" i="1"/>
  <c r="BQ346" i="1"/>
  <c r="BQ345" i="1"/>
  <c r="BQ344" i="1"/>
  <c r="BQ343" i="1"/>
  <c r="BQ342" i="1"/>
  <c r="BQ341" i="1"/>
  <c r="BQ340" i="1"/>
  <c r="BQ339" i="1"/>
  <c r="BQ338" i="1"/>
  <c r="BQ337" i="1"/>
  <c r="BQ336" i="1"/>
  <c r="BQ335" i="1"/>
  <c r="BQ334" i="1"/>
  <c r="BQ333" i="1"/>
  <c r="BQ332" i="1"/>
  <c r="BQ331" i="1"/>
  <c r="BQ330" i="1"/>
  <c r="BQ329" i="1"/>
  <c r="BQ328" i="1"/>
  <c r="BQ327" i="1"/>
  <c r="BQ326" i="1"/>
  <c r="BQ325" i="1"/>
  <c r="BQ324" i="1"/>
  <c r="BQ323" i="1"/>
  <c r="BQ322" i="1"/>
  <c r="BQ321" i="1"/>
  <c r="BQ320" i="1"/>
  <c r="BQ319" i="1"/>
  <c r="BQ318" i="1"/>
  <c r="BQ317" i="1"/>
  <c r="BQ316" i="1"/>
  <c r="BQ315" i="1"/>
  <c r="BQ314" i="1"/>
  <c r="BQ313" i="1"/>
  <c r="BQ312" i="1"/>
  <c r="BQ311" i="1"/>
  <c r="BQ310" i="1"/>
  <c r="BQ309" i="1"/>
  <c r="BQ308" i="1"/>
  <c r="BQ307" i="1"/>
  <c r="BQ306" i="1"/>
  <c r="BQ305" i="1"/>
  <c r="BQ304" i="1"/>
  <c r="BQ303" i="1"/>
  <c r="BQ302" i="1"/>
  <c r="BQ301" i="1"/>
  <c r="BQ300" i="1"/>
  <c r="BQ299" i="1"/>
  <c r="BQ298" i="1"/>
  <c r="BQ297" i="1"/>
  <c r="BQ296" i="1"/>
  <c r="BQ295" i="1"/>
  <c r="BQ294" i="1"/>
  <c r="BQ293" i="1"/>
  <c r="BQ292" i="1"/>
  <c r="BQ291" i="1"/>
  <c r="BQ290" i="1"/>
  <c r="BQ289" i="1"/>
  <c r="BQ288" i="1"/>
  <c r="BQ287" i="1"/>
  <c r="BQ286" i="1"/>
  <c r="BQ285" i="1"/>
  <c r="BQ284" i="1"/>
  <c r="BQ283" i="1"/>
  <c r="BQ282" i="1"/>
  <c r="BQ281" i="1"/>
  <c r="BQ280" i="1"/>
  <c r="BQ279" i="1"/>
  <c r="BQ278" i="1"/>
  <c r="BQ277" i="1"/>
  <c r="BQ276" i="1"/>
  <c r="BQ275" i="1"/>
  <c r="BQ274" i="1"/>
  <c r="BQ273" i="1"/>
  <c r="BQ272" i="1"/>
  <c r="BQ271" i="1"/>
  <c r="BQ270" i="1"/>
  <c r="BQ269" i="1"/>
  <c r="BQ268" i="1"/>
  <c r="BQ267" i="1"/>
  <c r="BQ266" i="1"/>
  <c r="BQ265" i="1"/>
  <c r="BQ264" i="1"/>
  <c r="BQ263" i="1"/>
  <c r="BQ262" i="1"/>
  <c r="BQ261" i="1"/>
  <c r="BQ260" i="1"/>
  <c r="BQ259" i="1"/>
  <c r="BQ258" i="1"/>
  <c r="BQ257" i="1"/>
  <c r="BQ256" i="1"/>
  <c r="BQ255" i="1"/>
  <c r="BQ254" i="1"/>
  <c r="BQ253" i="1"/>
  <c r="BQ252" i="1"/>
  <c r="BQ251" i="1"/>
  <c r="BQ250" i="1"/>
  <c r="BQ249" i="1"/>
  <c r="BQ248" i="1"/>
  <c r="BQ247" i="1"/>
  <c r="BQ246" i="1"/>
  <c r="BQ245" i="1"/>
  <c r="BQ244" i="1"/>
  <c r="BQ243" i="1"/>
  <c r="BQ242" i="1"/>
  <c r="BQ241" i="1"/>
  <c r="BQ240" i="1"/>
  <c r="BQ239" i="1"/>
  <c r="BQ238" i="1"/>
  <c r="BQ237" i="1"/>
  <c r="BQ236" i="1"/>
  <c r="BQ235" i="1"/>
  <c r="BQ234" i="1"/>
  <c r="BQ233" i="1"/>
  <c r="BQ232" i="1"/>
  <c r="BQ231" i="1"/>
  <c r="BQ230" i="1"/>
  <c r="BQ229" i="1"/>
  <c r="BQ228" i="1"/>
  <c r="BQ227" i="1"/>
  <c r="BQ226" i="1"/>
  <c r="BQ225" i="1"/>
  <c r="BQ224" i="1"/>
  <c r="BQ223" i="1"/>
  <c r="BQ222" i="1"/>
  <c r="BQ221" i="1"/>
  <c r="BQ220" i="1"/>
  <c r="BQ219" i="1"/>
  <c r="BQ218" i="1"/>
  <c r="BQ217" i="1"/>
  <c r="BQ216" i="1"/>
  <c r="BQ215" i="1"/>
  <c r="BQ214" i="1"/>
  <c r="BQ213" i="1"/>
  <c r="BQ212" i="1"/>
  <c r="BQ211" i="1"/>
  <c r="BQ210" i="1"/>
  <c r="BQ209" i="1"/>
  <c r="BQ208" i="1"/>
  <c r="BQ207" i="1"/>
  <c r="BQ206" i="1"/>
  <c r="BQ205" i="1"/>
  <c r="BQ204" i="1"/>
  <c r="BQ203" i="1"/>
  <c r="BQ202" i="1"/>
  <c r="BQ201" i="1"/>
  <c r="BQ200" i="1"/>
  <c r="BQ199" i="1"/>
  <c r="BQ198" i="1"/>
  <c r="BQ197" i="1"/>
  <c r="BQ79" i="1"/>
  <c r="BQ166" i="1"/>
  <c r="BQ123" i="1"/>
  <c r="BQ180" i="1"/>
  <c r="BQ14" i="1"/>
  <c r="BQ111" i="1"/>
  <c r="BQ177" i="1"/>
  <c r="BQ2" i="1"/>
  <c r="BQ74" i="1"/>
  <c r="BQ190" i="1"/>
  <c r="BQ158" i="1"/>
  <c r="BQ71" i="1"/>
  <c r="BQ121" i="1"/>
  <c r="BQ168" i="1"/>
  <c r="BQ139" i="1"/>
  <c r="BQ100" i="1"/>
  <c r="BQ99" i="1"/>
  <c r="BQ178" i="1"/>
  <c r="BQ7" i="1"/>
  <c r="BQ86" i="1"/>
  <c r="BQ169" i="1"/>
  <c r="BQ156" i="1"/>
  <c r="BQ62" i="1"/>
  <c r="BQ113" i="1"/>
  <c r="BQ133" i="1"/>
  <c r="BQ155" i="1"/>
  <c r="BQ120" i="1"/>
  <c r="BQ101" i="1"/>
  <c r="BQ124" i="1"/>
  <c r="BQ126" i="1"/>
  <c r="BQ174" i="1"/>
  <c r="BQ119" i="1"/>
  <c r="BQ65" i="1"/>
  <c r="BQ130" i="1"/>
  <c r="BQ146" i="1"/>
  <c r="BQ93" i="1"/>
  <c r="BQ483" i="1"/>
  <c r="BQ27" i="1"/>
  <c r="BQ59" i="1"/>
  <c r="BQ145" i="1"/>
  <c r="BQ50" i="1"/>
  <c r="BQ173" i="1"/>
  <c r="BQ188" i="1"/>
  <c r="BQ61" i="1"/>
  <c r="BQ492" i="1"/>
  <c r="BQ110" i="1"/>
  <c r="BQ48" i="1"/>
  <c r="BQ189" i="1"/>
  <c r="BQ33" i="1"/>
  <c r="BQ159" i="1"/>
  <c r="BQ34" i="1"/>
  <c r="BQ196" i="1"/>
  <c r="BQ70" i="1"/>
  <c r="BQ91" i="1"/>
  <c r="BQ150" i="1"/>
  <c r="BQ21" i="1"/>
  <c r="BQ102" i="1"/>
  <c r="BQ47" i="1"/>
  <c r="BQ106" i="1"/>
  <c r="BQ163" i="1"/>
  <c r="BQ44" i="1"/>
  <c r="BQ170" i="1"/>
  <c r="BQ19" i="1"/>
  <c r="BQ32" i="1"/>
  <c r="BQ185" i="1"/>
  <c r="BQ72" i="1"/>
  <c r="BQ83" i="1"/>
  <c r="BQ17" i="1"/>
  <c r="BQ183" i="1"/>
  <c r="BQ51" i="1"/>
  <c r="BQ20" i="1"/>
  <c r="BQ143" i="1"/>
  <c r="BQ96" i="1"/>
  <c r="BQ82" i="1"/>
  <c r="BQ29" i="1"/>
  <c r="BQ135" i="1"/>
  <c r="BQ491" i="1"/>
  <c r="BQ9" i="1"/>
  <c r="BQ53" i="1"/>
  <c r="BQ171" i="1"/>
  <c r="BQ108" i="1"/>
  <c r="BQ76" i="1"/>
  <c r="BQ8" i="1"/>
  <c r="BQ45" i="1"/>
  <c r="BQ118" i="1"/>
  <c r="BQ479" i="1"/>
  <c r="BQ488" i="1"/>
  <c r="BQ73" i="1"/>
  <c r="BQ179" i="1"/>
  <c r="BQ490" i="1"/>
  <c r="BQ95" i="1"/>
  <c r="BQ69" i="1"/>
  <c r="BQ477" i="1"/>
  <c r="BQ114" i="1"/>
  <c r="BQ35" i="1"/>
  <c r="BQ54" i="1"/>
  <c r="BQ486" i="1"/>
  <c r="BQ97" i="1"/>
  <c r="BQ182" i="1"/>
  <c r="BQ5" i="1"/>
  <c r="BQ66" i="1"/>
  <c r="BQ31" i="1"/>
  <c r="BQ137" i="1"/>
  <c r="BQ22" i="1"/>
  <c r="BQ36" i="1"/>
  <c r="BQ109" i="1"/>
  <c r="BQ140" i="1"/>
  <c r="BQ10" i="1"/>
  <c r="BQ6" i="1"/>
  <c r="BQ18" i="1"/>
  <c r="BQ157" i="1"/>
  <c r="BQ25" i="1"/>
  <c r="BQ56" i="1"/>
  <c r="BQ103" i="1"/>
  <c r="BQ94" i="1"/>
  <c r="BQ49" i="1"/>
  <c r="BQ131" i="1"/>
  <c r="BQ132" i="1"/>
  <c r="BQ181" i="1"/>
  <c r="BQ107" i="1"/>
  <c r="BQ26" i="1"/>
  <c r="BQ60" i="1"/>
  <c r="BQ40" i="1"/>
  <c r="BQ87" i="1"/>
  <c r="BQ80" i="1"/>
  <c r="BQ165" i="1"/>
  <c r="BQ480" i="1"/>
  <c r="BQ77" i="1"/>
  <c r="BQ64" i="1"/>
  <c r="BQ128" i="1"/>
  <c r="BQ11" i="1"/>
  <c r="BQ68" i="1"/>
  <c r="BQ105" i="1"/>
  <c r="BQ142" i="1"/>
  <c r="BQ160" i="1"/>
  <c r="BQ152" i="1"/>
  <c r="BQ127" i="1"/>
  <c r="BQ194" i="1"/>
  <c r="BQ12" i="1"/>
  <c r="BQ15" i="1"/>
  <c r="BQ481" i="1"/>
  <c r="BQ193" i="1"/>
  <c r="BQ484" i="1"/>
  <c r="BQ38" i="1"/>
  <c r="BQ175" i="1"/>
  <c r="BQ153" i="1"/>
  <c r="BQ164" i="1"/>
  <c r="BQ58" i="1"/>
  <c r="BQ23" i="1"/>
  <c r="BQ13" i="1"/>
  <c r="BQ151" i="1"/>
  <c r="BQ184" i="1"/>
  <c r="BQ28" i="1"/>
  <c r="BQ85" i="1"/>
  <c r="BQ89" i="1"/>
  <c r="BQ78" i="1"/>
  <c r="BQ88" i="1"/>
  <c r="BQ192" i="1"/>
  <c r="BQ489" i="1"/>
  <c r="BQ57" i="1"/>
  <c r="BQ186" i="1"/>
  <c r="BQ191" i="1"/>
  <c r="BQ148" i="1"/>
  <c r="BQ104" i="1"/>
  <c r="BQ39" i="1"/>
  <c r="BQ42" i="1"/>
  <c r="BQ41" i="1"/>
  <c r="BQ154" i="1"/>
  <c r="BQ24" i="1"/>
  <c r="BQ167" i="1"/>
  <c r="BQ147" i="1"/>
  <c r="BQ195" i="1"/>
  <c r="BQ37" i="1"/>
  <c r="BQ55" i="1"/>
  <c r="BQ90" i="1"/>
  <c r="BQ129" i="1"/>
  <c r="BQ75" i="1"/>
  <c r="BQ112" i="1"/>
  <c r="BQ16" i="1"/>
  <c r="BQ3" i="1"/>
  <c r="BQ187" i="1"/>
  <c r="BQ92" i="1"/>
  <c r="BQ122" i="1"/>
  <c r="BQ476" i="1"/>
  <c r="BQ485" i="1"/>
  <c r="BQ176" i="1"/>
  <c r="BQ141" i="1"/>
  <c r="BQ46" i="1"/>
  <c r="BQ149" i="1"/>
  <c r="BQ161" i="1"/>
  <c r="BQ162" i="1"/>
  <c r="BQ475" i="1"/>
  <c r="BQ43" i="1"/>
  <c r="BQ98" i="1"/>
  <c r="BQ482" i="1"/>
  <c r="BQ67" i="1"/>
  <c r="BQ125" i="1"/>
  <c r="BQ138" i="1"/>
  <c r="BQ134" i="1"/>
  <c r="BQ116" i="1"/>
  <c r="BQ84" i="1"/>
  <c r="BQ117" i="1"/>
  <c r="BQ81" i="1"/>
  <c r="BQ52" i="1"/>
  <c r="BQ487" i="1"/>
  <c r="BQ30" i="1"/>
  <c r="BQ172" i="1"/>
  <c r="BQ136" i="1"/>
  <c r="BQ144" i="1"/>
  <c r="BQ63" i="1"/>
  <c r="BQ493" i="1"/>
  <c r="BQ4" i="1"/>
  <c r="BQ478" i="1"/>
  <c r="BQ115" i="1"/>
  <c r="BL115" i="1"/>
  <c r="D172" i="1"/>
  <c r="BV18" i="1"/>
  <c r="BV17" i="1"/>
  <c r="BX15" i="1"/>
  <c r="BV15" i="1"/>
  <c r="BX16" i="1"/>
  <c r="BV19" i="1"/>
  <c r="BX17" i="1"/>
  <c r="BW14" i="1"/>
  <c r="BW18" i="1"/>
  <c r="BW17" i="1"/>
  <c r="BV14" i="1"/>
  <c r="BT9" i="1"/>
  <c r="BW15" i="1"/>
  <c r="BW16" i="1"/>
  <c r="BW19" i="1"/>
  <c r="BX18" i="1"/>
  <c r="BX14" i="1"/>
  <c r="BV16" i="1"/>
  <c r="BX19" i="1"/>
  <c r="BP115" i="1" l="1"/>
  <c r="D117" i="1" l="1"/>
  <c r="D186" i="1"/>
  <c r="D3" i="1"/>
  <c r="D30" i="1"/>
  <c r="D39" i="1"/>
  <c r="D41" i="1"/>
  <c r="D148" i="1"/>
  <c r="D481" i="1"/>
  <c r="D125" i="1"/>
  <c r="BU14" i="1"/>
  <c r="BU13" i="1"/>
  <c r="D466" i="1" l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79" i="1"/>
  <c r="D166" i="1"/>
  <c r="D123" i="1"/>
  <c r="D180" i="1"/>
  <c r="D14" i="1"/>
  <c r="D111" i="1"/>
  <c r="D177" i="1"/>
  <c r="D2" i="1"/>
  <c r="D74" i="1"/>
  <c r="D190" i="1"/>
  <c r="D158" i="1"/>
  <c r="D71" i="1"/>
  <c r="D121" i="1"/>
  <c r="D168" i="1"/>
  <c r="D139" i="1"/>
  <c r="D100" i="1"/>
  <c r="D99" i="1"/>
  <c r="D178" i="1"/>
  <c r="D7" i="1"/>
  <c r="D86" i="1"/>
  <c r="D169" i="1"/>
  <c r="D156" i="1"/>
  <c r="D62" i="1"/>
  <c r="D113" i="1"/>
  <c r="D133" i="1"/>
  <c r="D155" i="1"/>
  <c r="D120" i="1"/>
  <c r="D101" i="1"/>
  <c r="D124" i="1"/>
  <c r="D126" i="1"/>
  <c r="D174" i="1"/>
  <c r="D119" i="1"/>
  <c r="D65" i="1"/>
  <c r="D130" i="1"/>
  <c r="D146" i="1"/>
  <c r="D93" i="1"/>
  <c r="D483" i="1"/>
  <c r="D27" i="1"/>
  <c r="D59" i="1"/>
  <c r="D145" i="1"/>
  <c r="D50" i="1"/>
  <c r="D173" i="1"/>
  <c r="D188" i="1"/>
  <c r="D61" i="1"/>
  <c r="D492" i="1"/>
  <c r="D110" i="1"/>
  <c r="D48" i="1"/>
  <c r="D189" i="1"/>
  <c r="D33" i="1"/>
  <c r="D159" i="1"/>
  <c r="D34" i="1"/>
  <c r="D196" i="1"/>
  <c r="D70" i="1"/>
  <c r="D91" i="1"/>
  <c r="D150" i="1"/>
  <c r="D21" i="1"/>
  <c r="D102" i="1"/>
  <c r="D47" i="1"/>
  <c r="D106" i="1"/>
  <c r="D163" i="1"/>
  <c r="D44" i="1"/>
  <c r="D170" i="1"/>
  <c r="D19" i="1"/>
  <c r="D32" i="1"/>
  <c r="D185" i="1"/>
  <c r="D83" i="1"/>
  <c r="D17" i="1"/>
  <c r="D183" i="1"/>
  <c r="D51" i="1"/>
  <c r="D20" i="1"/>
  <c r="D143" i="1"/>
  <c r="D96" i="1"/>
  <c r="D82" i="1"/>
  <c r="D29" i="1"/>
  <c r="D135" i="1"/>
  <c r="D491" i="1"/>
  <c r="D9" i="1"/>
  <c r="D53" i="1"/>
  <c r="D171" i="1"/>
  <c r="D108" i="1"/>
  <c r="D76" i="1"/>
  <c r="D8" i="1"/>
  <c r="D45" i="1"/>
  <c r="D118" i="1"/>
  <c r="D479" i="1"/>
  <c r="D488" i="1"/>
  <c r="D73" i="1"/>
  <c r="D179" i="1"/>
  <c r="D490" i="1"/>
  <c r="D95" i="1"/>
  <c r="D69" i="1"/>
  <c r="D477" i="1"/>
  <c r="D114" i="1"/>
  <c r="D35" i="1"/>
  <c r="D54" i="1"/>
  <c r="D486" i="1"/>
  <c r="D97" i="1"/>
  <c r="D182" i="1"/>
  <c r="D5" i="1"/>
  <c r="D66" i="1"/>
  <c r="D31" i="1"/>
  <c r="D137" i="1"/>
  <c r="D22" i="1"/>
  <c r="D36" i="1"/>
  <c r="D109" i="1"/>
  <c r="D140" i="1"/>
  <c r="D10" i="1"/>
  <c r="D6" i="1"/>
  <c r="D18" i="1"/>
  <c r="D157" i="1"/>
  <c r="D25" i="1"/>
  <c r="D56" i="1"/>
  <c r="D103" i="1"/>
  <c r="D94" i="1"/>
  <c r="D49" i="1"/>
  <c r="D131" i="1"/>
  <c r="D132" i="1"/>
  <c r="D181" i="1"/>
  <c r="D107" i="1"/>
  <c r="D26" i="1"/>
  <c r="D60" i="1"/>
  <c r="D40" i="1"/>
  <c r="D87" i="1"/>
  <c r="D80" i="1"/>
  <c r="D165" i="1"/>
  <c r="D480" i="1"/>
  <c r="D77" i="1"/>
  <c r="D64" i="1"/>
  <c r="D128" i="1"/>
  <c r="D11" i="1"/>
  <c r="D68" i="1"/>
  <c r="D105" i="1"/>
  <c r="D142" i="1"/>
  <c r="D160" i="1"/>
  <c r="D43" i="1"/>
  <c r="D152" i="1"/>
  <c r="D63" i="1"/>
  <c r="D193" i="1"/>
  <c r="D149" i="1"/>
  <c r="D122" i="1"/>
  <c r="D98" i="1"/>
  <c r="D78" i="1"/>
  <c r="D37" i="1"/>
  <c r="D28" i="1"/>
  <c r="D194" i="1"/>
  <c r="D154" i="1"/>
  <c r="D92" i="1"/>
  <c r="D112" i="1"/>
  <c r="D89" i="1"/>
  <c r="D136" i="1"/>
  <c r="D478" i="1"/>
  <c r="D116" i="1"/>
  <c r="D147" i="1"/>
  <c r="D104" i="1"/>
  <c r="D4" i="1"/>
  <c r="D468" i="1"/>
  <c r="D13" i="1"/>
  <c r="D46" i="1"/>
  <c r="D472" i="1"/>
  <c r="D129" i="1"/>
  <c r="D81" i="1"/>
  <c r="D467" i="1"/>
  <c r="D489" i="1"/>
  <c r="D184" i="1"/>
  <c r="D482" i="1"/>
  <c r="D471" i="1"/>
  <c r="D151" i="1"/>
  <c r="D15" i="1"/>
  <c r="D487" i="1"/>
  <c r="D161" i="1"/>
  <c r="D16" i="1"/>
  <c r="D90" i="1"/>
  <c r="D85" i="1"/>
  <c r="D485" i="1"/>
  <c r="D55" i="1"/>
  <c r="D115" i="1"/>
  <c r="D12" i="1"/>
  <c r="D162" i="1"/>
  <c r="D38" i="1"/>
  <c r="D141" i="1"/>
  <c r="D475" i="1"/>
  <c r="D58" i="1"/>
  <c r="D57" i="1"/>
  <c r="D23" i="1"/>
  <c r="D167" i="1"/>
  <c r="D473" i="1"/>
  <c r="D474" i="1"/>
  <c r="D42" i="1"/>
  <c r="D127" i="1"/>
  <c r="D52" i="1"/>
  <c r="D176" i="1"/>
  <c r="D134" i="1"/>
  <c r="D164" i="1"/>
  <c r="D67" i="1"/>
  <c r="D484" i="1"/>
  <c r="D469" i="1"/>
  <c r="D84" i="1"/>
  <c r="D191" i="1"/>
  <c r="D175" i="1"/>
  <c r="D138" i="1"/>
  <c r="D88" i="1"/>
  <c r="D153" i="1"/>
  <c r="D24" i="1"/>
  <c r="D476" i="1"/>
  <c r="D187" i="1"/>
  <c r="D493" i="1"/>
  <c r="D470" i="1"/>
  <c r="D144" i="1"/>
  <c r="BU18" i="1"/>
  <c r="BU16" i="1"/>
  <c r="BT12" i="1"/>
  <c r="BU17" i="1"/>
  <c r="BU15" i="1"/>
  <c r="BU19" i="1"/>
  <c r="BU12" i="1"/>
</calcChain>
</file>

<file path=xl/sharedStrings.xml><?xml version="1.0" encoding="utf-8"?>
<sst xmlns="http://schemas.openxmlformats.org/spreadsheetml/2006/main" count="116" uniqueCount="81">
  <si>
    <t>Minutes</t>
  </si>
  <si>
    <t>Competition</t>
  </si>
  <si>
    <t>Odds%</t>
  </si>
  <si>
    <t>Stats%</t>
  </si>
  <si>
    <t>Diff%</t>
  </si>
  <si>
    <t>Result</t>
  </si>
  <si>
    <t>Game</t>
  </si>
  <si>
    <t>Attacks</t>
  </si>
  <si>
    <t>Dangerous Attacks</t>
  </si>
  <si>
    <t>Shots On</t>
  </si>
  <si>
    <t>Shots Off</t>
  </si>
  <si>
    <t>Possession</t>
  </si>
  <si>
    <t>Odd</t>
  </si>
  <si>
    <t>Min</t>
  </si>
  <si>
    <t>Diff4 %</t>
  </si>
  <si>
    <t>Diff2 %</t>
  </si>
  <si>
    <t>Diff3 %</t>
  </si>
  <si>
    <t>Odds</t>
  </si>
  <si>
    <t>50+%</t>
  </si>
  <si>
    <t>50-%</t>
  </si>
  <si>
    <t>Stats</t>
  </si>
  <si>
    <t>Home Team Favorite</t>
  </si>
  <si>
    <t>Away Team Favorite</t>
  </si>
  <si>
    <t>Home Team Playing Better</t>
  </si>
  <si>
    <t>Away Team Playing Better</t>
  </si>
  <si>
    <t>Diff</t>
  </si>
  <si>
    <t>Positive</t>
  </si>
  <si>
    <t>Negative</t>
  </si>
  <si>
    <t>Away Team Playing Better Than Expected</t>
  </si>
  <si>
    <t>Home Team Playing Better Than Expected</t>
  </si>
  <si>
    <t>Last Run:</t>
  </si>
  <si>
    <t>Runtime:</t>
  </si>
  <si>
    <t>Game Number:</t>
  </si>
  <si>
    <t>Handicap</t>
  </si>
  <si>
    <t>Red Cards</t>
  </si>
  <si>
    <t>Next Goal</t>
  </si>
  <si>
    <t>1st half Handicap</t>
  </si>
  <si>
    <t>Israel - Liga Alef</t>
  </si>
  <si>
    <t>Israel - Liga Bet</t>
  </si>
  <si>
    <t>Russia - Youth League</t>
  </si>
  <si>
    <t>Final Handicap</t>
  </si>
  <si>
    <t>South Korea - K-League 3</t>
  </si>
  <si>
    <t>Daejeon Korail - Ulsan Citizen</t>
  </si>
  <si>
    <t>Asia - AFC Asian Cup. Women</t>
  </si>
  <si>
    <t>Strogino Youth - Spartak Moscow Youth</t>
  </si>
  <si>
    <t>Portugal - (U-23) League</t>
  </si>
  <si>
    <t>Portimonense (U-23) - Sporting Lisboa U23</t>
  </si>
  <si>
    <t>FK Arsenal Tula II - Khimki Youth</t>
  </si>
  <si>
    <t>England - Premier League 2</t>
  </si>
  <si>
    <t>Fulham (U-23) - Newcastle United (U-23)</t>
  </si>
  <si>
    <t>England - Professional Development League (U-23)</t>
  </si>
  <si>
    <t>Swansea City (U-23) - Peterborough United (U-23)</t>
  </si>
  <si>
    <t>Hapoel Ironi Gedera - Beitar Ironi Kiryat Gat</t>
  </si>
  <si>
    <t>Shimshon Kafr Qasim - Hapoel Azor</t>
  </si>
  <si>
    <t>Australia - National Premier League 2 (U-23)</t>
  </si>
  <si>
    <t>Eastern Suburbs (U-23) - Capalaba Bulldogs (U-23)</t>
  </si>
  <si>
    <t>Rostov FK Youth - UOR-5 Youth</t>
  </si>
  <si>
    <t>Hapoel Mahane Yehuda - Shimshon Bnei Taibe</t>
  </si>
  <si>
    <t>Mongolia - Premier League</t>
  </si>
  <si>
    <t>Ulaanbaatar - SP Falcons</t>
  </si>
  <si>
    <t>Australia - Queensland Regional League</t>
  </si>
  <si>
    <t>Nerang B - Tweed United</t>
  </si>
  <si>
    <t>Hapoel Migdal Haemeq - Hapoel Kafr Kanna</t>
  </si>
  <si>
    <t>Thailand - Premier league</t>
  </si>
  <si>
    <t>Muang Thong United - Ratchaburi FC</t>
  </si>
  <si>
    <t>Australia - National Premier League. Women</t>
  </si>
  <si>
    <t>Japan - J-League</t>
  </si>
  <si>
    <t>Shimizu S-Pulse - Vissel Kobe</t>
  </si>
  <si>
    <t>Sport Club Dimona - MS Ironi Kuseife</t>
  </si>
  <si>
    <t>Chertanovo Youth - Lokomotiv Moscow Youth</t>
  </si>
  <si>
    <t>University of Queensland (W) - Kangaroo Point Rovers (W)</t>
  </si>
  <si>
    <t>Philippines (W) - Hong Kong (W)</t>
  </si>
  <si>
    <t>South Africa - South Africa League. Women</t>
  </si>
  <si>
    <t>Croesus (W) - Luso Africa (W)</t>
  </si>
  <si>
    <t>Bnei Jaffa Ortodoxim - Hapoel Hod Hasharon</t>
  </si>
  <si>
    <t>Indonesia - Liga 1</t>
  </si>
  <si>
    <t>Persebaya Surabaya - Bhayangkara</t>
  </si>
  <si>
    <t>MS Hulon Yirmiyahu - SC Maccabi Ashdod</t>
  </si>
  <si>
    <t>Kempton Park FC (W) - Kathorus United (W)</t>
  </si>
  <si>
    <t>China - League One</t>
  </si>
  <si>
    <t>Jiangxi Liansheng - Zhejiang Professional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</si>
</sst>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ss.00"/>
    <numFmt numFmtId="165" formatCode="[s].0&quot;s&quot;"/>
    <numFmt numFmtId="166" formatCode="hh:mm:ss"/>
  </numFmts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2"/>
      <color rgb="FF3F3F76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6">
    <xf numFmtId="0" fontId="0" fillId="0" borderId="0" xfId="0"/>
    <xf numFmtId="2" fontId="0" fillId="0" borderId="0" xfId="0" applyNumberFormat="1"/>
    <xf numFmtId="0" fontId="1" fillId="2" borderId="1" xfId="1"/>
    <xf numFmtId="0" fontId="0" fillId="0" borderId="0" xfId="0" applyAlignment="1">
      <alignment horizontal="left"/>
    </xf>
    <xf numFmtId="0" fontId="0" fillId="0" borderId="4" xfId="0" applyBorder="1"/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2" xfId="0" applyBorder="1"/>
    <xf numFmtId="0" fontId="0" fillId="0" borderId="0" xfId="0" applyAlignment="1">
      <alignment horizontal="center"/>
    </xf>
    <xf numFmtId="0" fontId="0" fillId="0" borderId="14" xfId="0" applyBorder="1"/>
    <xf numFmtId="0" fontId="0" fillId="5" borderId="4" xfId="0" applyFill="1" applyBorder="1"/>
    <xf numFmtId="0" fontId="0" fillId="4" borderId="3" xfId="0" applyFill="1" applyBorder="1"/>
    <xf numFmtId="0" fontId="0" fillId="0" borderId="11" xfId="0" applyBorder="1"/>
    <xf numFmtId="164" fontId="0" fillId="0" borderId="0" xfId="0" applyNumberFormat="1"/>
    <xf numFmtId="165" fontId="0" fillId="0" borderId="13" xfId="0" applyNumberFormat="1" applyBorder="1"/>
    <xf numFmtId="0" fontId="0" fillId="0" borderId="14" xfId="0" applyFill="1" applyBorder="1"/>
    <xf numFmtId="0" fontId="0" fillId="0" borderId="4" xfId="0" applyFill="1" applyBorder="1"/>
    <xf numFmtId="0" fontId="0" fillId="0" borderId="3" xfId="0" applyFill="1" applyBorder="1"/>
    <xf numFmtId="21" fontId="0" fillId="0" borderId="11" xfId="0" applyNumberFormat="1" applyBorder="1"/>
    <xf numFmtId="21" fontId="0" fillId="0" borderId="0" xfId="0" applyNumberFormat="1"/>
    <xf numFmtId="0" fontId="1" fillId="2" borderId="1" xfId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7" fillId="0" borderId="0" xfId="0" applyFont="1"/>
    <xf numFmtId="21" fontId="0" fillId="0" borderId="13" xfId="0" applyNumberFormat="1" applyBorder="1" applyAlignment="1">
      <alignment horizontal="left"/>
    </xf>
    <xf numFmtId="0" fontId="3" fillId="2" borderId="2" xfId="1" applyFont="1" applyBorder="1" applyAlignment="1">
      <alignment vertical="center"/>
    </xf>
    <xf numFmtId="21" fontId="0" fillId="0" borderId="13" xfId="0" applyNumberFormat="1" applyBorder="1" applyAlignment="1">
      <alignment horizontal="center"/>
    </xf>
    <xf numFmtId="0" fontId="6" fillId="3" borderId="14" xfId="1" applyFont="1" applyFill="1" applyBorder="1" applyAlignment="1">
      <alignment horizontal="center" vertical="center" wrapText="1"/>
    </xf>
    <xf numFmtId="0" fontId="6" fillId="3" borderId="4" xfId="1" applyFont="1" applyFill="1" applyBorder="1" applyAlignment="1">
      <alignment horizontal="center" vertical="center" wrapText="1"/>
    </xf>
    <xf numFmtId="0" fontId="6" fillId="3" borderId="3" xfId="1" applyFont="1" applyFill="1" applyBorder="1" applyAlignment="1">
      <alignment horizontal="center" vertical="center" wrapText="1"/>
    </xf>
    <xf numFmtId="0" fontId="2" fillId="3" borderId="5" xfId="1" applyFont="1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3" borderId="10" xfId="1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2" borderId="8" xfId="1" applyFont="1" applyBorder="1" applyAlignment="1">
      <alignment horizontal="center" vertical="center"/>
    </xf>
    <xf numFmtId="0" fontId="3" fillId="2" borderId="9" xfId="1" applyFont="1" applyBorder="1" applyAlignment="1">
      <alignment horizontal="center" vertical="center"/>
    </xf>
    <xf numFmtId="0" fontId="3" fillId="2" borderId="10" xfId="1" applyFont="1" applyBorder="1" applyAlignment="1">
      <alignment horizontal="center" vertical="center"/>
    </xf>
    <xf numFmtId="166" fontId="0" fillId="0" borderId="13" xfId="0" applyNumberFormat="1" applyBorder="1" applyAlignment="1">
      <alignment horizontal="center"/>
    </xf>
    <xf numFmtId="166" fontId="0" fillId="0" borderId="13" xfId="0" applyNumberFormat="1" applyBorder="1"/>
  </cellXfs>
  <cellStyles count="2">
    <cellStyle name="Input" xfId="1" builtinId="20"/>
    <cellStyle name="Normal" xfId="0" builtinId="0"/>
  </cellStyles>
  <dxfs count="6"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ont>
        <color theme="1"/>
      </font>
      <fill>
        <patternFill>
          <bgColor rgb="FFFF5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939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0</xdr:colOff>
      <xdr:row>1</xdr:row>
      <xdr:rowOff>12700</xdr:rowOff>
    </xdr:from>
    <xdr:to>
      <xdr:col>73</xdr:col>
      <xdr:colOff>12700</xdr:colOff>
      <xdr:row>6</xdr:row>
      <xdr:rowOff>12700</xdr:rowOff>
    </xdr:to>
    <xdr:sp macro="[0]!RunStuff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CE3A11-925E-441B-9D6B-666CD1D7045A}"/>
            </a:ext>
          </a:extLst>
        </xdr:cNvPr>
        <xdr:cNvSpPr/>
      </xdr:nvSpPr>
      <xdr:spPr>
        <a:xfrm>
          <a:off x="13290550" y="196850"/>
          <a:ext cx="2197100" cy="1098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4000" b="1">
              <a:solidFill>
                <a:srgbClr val="FFC000"/>
              </a:solidFill>
            </a:rPr>
            <a:t>Run</a:t>
          </a:r>
        </a:p>
      </xdr:txBody>
    </xdr:sp>
    <xdr:clientData/>
  </xdr:twoCellAnchor>
  <xdr:twoCellAnchor>
    <xdr:from>
      <xdr:col>71</xdr:col>
      <xdr:colOff>6350</xdr:colOff>
      <xdr:row>21</xdr:row>
      <xdr:rowOff>6350</xdr:rowOff>
    </xdr:from>
    <xdr:to>
      <xdr:col>72</xdr:col>
      <xdr:colOff>831850</xdr:colOff>
      <xdr:row>22</xdr:row>
      <xdr:rowOff>177800</xdr:rowOff>
    </xdr:to>
    <xdr:sp macro="[0]!SortDiff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A3915C9-0A66-497B-A723-BB1531CBC522}"/>
            </a:ext>
          </a:extLst>
        </xdr:cNvPr>
        <xdr:cNvSpPr/>
      </xdr:nvSpPr>
      <xdr:spPr>
        <a:xfrm>
          <a:off x="12299950" y="3924300"/>
          <a:ext cx="2171700" cy="355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Sort Diff</a:t>
          </a:r>
        </a:p>
      </xdr:txBody>
    </xdr:sp>
    <xdr:clientData/>
  </xdr:twoCellAnchor>
  <xdr:twoCellAnchor>
    <xdr:from>
      <xdr:col>71</xdr:col>
      <xdr:colOff>12700</xdr:colOff>
      <xdr:row>24</xdr:row>
      <xdr:rowOff>12700</xdr:rowOff>
    </xdr:from>
    <xdr:to>
      <xdr:col>72</xdr:col>
      <xdr:colOff>831850</xdr:colOff>
      <xdr:row>26</xdr:row>
      <xdr:rowOff>0</xdr:rowOff>
    </xdr:to>
    <xdr:sp macro="[0]!SortDiff2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72C2AC6-CAF4-460E-A093-699496D5D910}"/>
            </a:ext>
          </a:extLst>
        </xdr:cNvPr>
        <xdr:cNvSpPr/>
      </xdr:nvSpPr>
      <xdr:spPr>
        <a:xfrm>
          <a:off x="12306300" y="4483100"/>
          <a:ext cx="2165350" cy="355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Sort Diff2</a:t>
          </a:r>
        </a:p>
      </xdr:txBody>
    </xdr:sp>
    <xdr:clientData/>
  </xdr:twoCellAnchor>
  <xdr:twoCellAnchor>
    <xdr:from>
      <xdr:col>71</xdr:col>
      <xdr:colOff>0</xdr:colOff>
      <xdr:row>27</xdr:row>
      <xdr:rowOff>6350</xdr:rowOff>
    </xdr:from>
    <xdr:to>
      <xdr:col>73</xdr:col>
      <xdr:colOff>0</xdr:colOff>
      <xdr:row>29</xdr:row>
      <xdr:rowOff>6350</xdr:rowOff>
    </xdr:to>
    <xdr:sp macro="[0]!SortDiff3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225EC82-ABEB-4CD5-9082-0295C1B4439C}"/>
            </a:ext>
          </a:extLst>
        </xdr:cNvPr>
        <xdr:cNvSpPr/>
      </xdr:nvSpPr>
      <xdr:spPr>
        <a:xfrm>
          <a:off x="12293600" y="5029200"/>
          <a:ext cx="2184400" cy="368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Sort Diff3</a:t>
          </a:r>
        </a:p>
      </xdr:txBody>
    </xdr:sp>
    <xdr:clientData/>
  </xdr:twoCellAnchor>
  <xdr:twoCellAnchor>
    <xdr:from>
      <xdr:col>74</xdr:col>
      <xdr:colOff>19050</xdr:colOff>
      <xdr:row>2</xdr:row>
      <xdr:rowOff>6350</xdr:rowOff>
    </xdr:from>
    <xdr:to>
      <xdr:col>75</xdr:col>
      <xdr:colOff>831850</xdr:colOff>
      <xdr:row>5</xdr:row>
      <xdr:rowOff>0</xdr:rowOff>
    </xdr:to>
    <xdr:sp macro="[0]!SortOdd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2F40539E-B778-47DB-80C8-5BB35A73E753}"/>
            </a:ext>
          </a:extLst>
        </xdr:cNvPr>
        <xdr:cNvSpPr/>
      </xdr:nvSpPr>
      <xdr:spPr>
        <a:xfrm>
          <a:off x="16332200" y="412750"/>
          <a:ext cx="1651000" cy="654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Sort Odds</a:t>
          </a:r>
        </a:p>
      </xdr:txBody>
    </xdr:sp>
    <xdr:clientData/>
  </xdr:twoCellAnchor>
  <xdr:twoCellAnchor>
    <xdr:from>
      <xdr:col>71</xdr:col>
      <xdr:colOff>12700</xdr:colOff>
      <xdr:row>30</xdr:row>
      <xdr:rowOff>6350</xdr:rowOff>
    </xdr:from>
    <xdr:to>
      <xdr:col>73</xdr:col>
      <xdr:colOff>6350</xdr:colOff>
      <xdr:row>31</xdr:row>
      <xdr:rowOff>209550</xdr:rowOff>
    </xdr:to>
    <xdr:sp macro="[0]!SortDiff4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82CC118-A2C5-4F34-94D7-7D713CED0FA4}"/>
            </a:ext>
          </a:extLst>
        </xdr:cNvPr>
        <xdr:cNvSpPr/>
      </xdr:nvSpPr>
      <xdr:spPr>
        <a:xfrm>
          <a:off x="12287250" y="6311900"/>
          <a:ext cx="217805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Sort Diff4</a:t>
          </a:r>
        </a:p>
      </xdr:txBody>
    </xdr:sp>
    <xdr:clientData/>
  </xdr:twoCellAnchor>
  <xdr:twoCellAnchor>
    <xdr:from>
      <xdr:col>74</xdr:col>
      <xdr:colOff>0</xdr:colOff>
      <xdr:row>21</xdr:row>
      <xdr:rowOff>12700</xdr:rowOff>
    </xdr:from>
    <xdr:to>
      <xdr:col>76</xdr:col>
      <xdr:colOff>425450</xdr:colOff>
      <xdr:row>25</xdr:row>
      <xdr:rowOff>184150</xdr:rowOff>
    </xdr:to>
    <xdr:sp macro="[0]!RemoveCondForm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4416427-51AE-41D5-BC9E-581CB89F6D47}"/>
            </a:ext>
          </a:extLst>
        </xdr:cNvPr>
        <xdr:cNvSpPr/>
      </xdr:nvSpPr>
      <xdr:spPr>
        <a:xfrm>
          <a:off x="15297150" y="4432300"/>
          <a:ext cx="2101850" cy="1003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Remove Formatting</a:t>
          </a:r>
        </a:p>
      </xdr:txBody>
    </xdr:sp>
    <xdr:clientData/>
  </xdr:twoCellAnchor>
  <xdr:twoCellAnchor>
    <xdr:from>
      <xdr:col>74</xdr:col>
      <xdr:colOff>12700</xdr:colOff>
      <xdr:row>27</xdr:row>
      <xdr:rowOff>12700</xdr:rowOff>
    </xdr:from>
    <xdr:to>
      <xdr:col>77</xdr:col>
      <xdr:colOff>0</xdr:colOff>
      <xdr:row>32</xdr:row>
      <xdr:rowOff>6350</xdr:rowOff>
    </xdr:to>
    <xdr:sp macro="[0]!AddCondForm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03B62C7-DE84-4233-9C35-32E0C0675E0B}"/>
            </a:ext>
          </a:extLst>
        </xdr:cNvPr>
        <xdr:cNvSpPr/>
      </xdr:nvSpPr>
      <xdr:spPr>
        <a:xfrm>
          <a:off x="15309850" y="5670550"/>
          <a:ext cx="2095500" cy="1073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Add Formatting</a:t>
          </a:r>
        </a:p>
      </xdr:txBody>
    </xdr:sp>
    <xdr:clientData/>
  </xdr:twoCellAnchor>
  <xdr:twoCellAnchor>
    <xdr:from>
      <xdr:col>71</xdr:col>
      <xdr:colOff>6350</xdr:colOff>
      <xdr:row>32</xdr:row>
      <xdr:rowOff>196850</xdr:rowOff>
    </xdr:from>
    <xdr:to>
      <xdr:col>72</xdr:col>
      <xdr:colOff>831850</xdr:colOff>
      <xdr:row>36</xdr:row>
      <xdr:rowOff>12700</xdr:rowOff>
    </xdr:to>
    <xdr:sp macro="[0]!SortMinutes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228BB2DE-DA09-41D3-9B02-81DE808E8605}"/>
            </a:ext>
          </a:extLst>
        </xdr:cNvPr>
        <xdr:cNvSpPr/>
      </xdr:nvSpPr>
      <xdr:spPr>
        <a:xfrm>
          <a:off x="12274550" y="6934200"/>
          <a:ext cx="2171700" cy="679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500" b="1">
              <a:solidFill>
                <a:srgbClr val="FFC000"/>
              </a:solidFill>
            </a:rPr>
            <a:t>Sort Minutes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493"/>
  <sheetViews>
    <sheetView tabSelected="1" zoomScaleNormal="100" workbookViewId="0">
      <selection activeCell="E8" sqref="E8"/>
    </sheetView>
  </sheetViews>
  <sheetFormatPr defaultRowHeight="19.5" x14ac:dyDescent="0.3"/>
  <cols>
    <col min="1" max="1" width="6.5703125" customWidth="1"/>
    <col min="2" max="2" width="35.5703125" customWidth="1"/>
    <col min="3" max="3" width="48.28515625" bestFit="1" customWidth="1"/>
    <col min="4" max="4" width="8.140625" bestFit="1" customWidth="1"/>
    <col min="5" max="5" width="11.85546875" customWidth="1"/>
    <col min="6" max="6" width="11.85546875" bestFit="1" customWidth="1"/>
    <col min="7" max="7" width="9.7109375" customWidth="1"/>
    <col min="8" max="32" width="12.42578125" hidden="1" customWidth="1"/>
    <col min="33" max="33" width="5.5703125" hidden="1" customWidth="1"/>
    <col min="34" max="36" width="12.42578125" hidden="1" customWidth="1"/>
    <col min="37" max="37" width="9.7109375" customWidth="1"/>
    <col min="38" max="49" width="12.42578125" hidden="1" customWidth="1"/>
    <col min="50" max="50" width="9.7109375" customWidth="1"/>
    <col min="51" max="59" width="12.42578125" hidden="1" customWidth="1"/>
    <col min="60" max="62" width="9.7109375" hidden="1" customWidth="1"/>
    <col min="63" max="63" width="9.7109375" customWidth="1"/>
    <col min="64" max="64" width="8.7109375" hidden="1" customWidth="1"/>
    <col min="65" max="65" width="9.42578125" hidden="1" customWidth="1"/>
    <col min="66" max="68" width="8.7109375" hidden="1" customWidth="1"/>
    <col min="69" max="69" width="9.5703125" style="8" customWidth="1"/>
    <col min="70" max="71" width="9.85546875" style="23" customWidth="1"/>
    <col min="72" max="72" width="19.28515625" customWidth="1"/>
    <col min="73" max="76" width="12" customWidth="1"/>
    <col min="77" max="77" width="6.140625" customWidth="1"/>
    <col min="78" max="78" width="9.5703125" customWidth="1"/>
    <col min="79" max="79" width="9.42578125" customWidth="1"/>
    <col min="80" max="80" width="38.7109375" bestFit="1" customWidth="1"/>
  </cols>
  <sheetData>
    <row r="1" spans="1:107" ht="15" x14ac:dyDescent="0.25">
      <c r="A1" s="2" t="s">
        <v>13</v>
      </c>
      <c r="B1" s="2" t="s">
        <v>1</v>
      </c>
      <c r="C1" s="2" t="s">
        <v>6</v>
      </c>
      <c r="D1" s="2" t="s">
        <v>5</v>
      </c>
      <c r="E1" s="2" t="s">
        <v>2</v>
      </c>
      <c r="F1" s="2" t="s">
        <v>3</v>
      </c>
      <c r="G1" s="2" t="s">
        <v>4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 t="s">
        <v>15</v>
      </c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 t="s">
        <v>16</v>
      </c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 t="s">
        <v>14</v>
      </c>
      <c r="BQ1" s="20" t="s">
        <v>34</v>
      </c>
      <c r="BR1" s="20" t="s">
        <v>33</v>
      </c>
      <c r="BS1"/>
    </row>
    <row r="2" spans="1:107" ht="18" thickBot="1" x14ac:dyDescent="0.35">
      <c r="A2" s="3">
        <v>33</v>
      </c>
      <c r="B2" t="s">
        <v>72</v>
      </c>
      <c r="C2" t="s">
        <v>73</v>
      </c>
      <c r="D2" s="8" t="str">
        <f>IF(ISBLANK(T2),"",CONCATENATE(T2,"-",U2))</f>
        <v>4-0</v>
      </c>
      <c r="E2" s="1">
        <v>88.335220838052095</v>
      </c>
      <c r="F2" s="1">
        <v>66.6666666666666</v>
      </c>
      <c r="G2" s="1">
        <v>21.668554171385399</v>
      </c>
      <c r="H2" s="1">
        <v>1.03</v>
      </c>
      <c r="I2" s="1">
        <v>7.8</v>
      </c>
      <c r="J2" s="1">
        <v>47</v>
      </c>
      <c r="K2" s="1">
        <v>38</v>
      </c>
      <c r="L2" s="1">
        <v>31</v>
      </c>
      <c r="M2" s="1">
        <v>16</v>
      </c>
      <c r="N2" s="1">
        <v>5</v>
      </c>
      <c r="O2" s="1">
        <v>0</v>
      </c>
      <c r="P2" s="1">
        <v>3</v>
      </c>
      <c r="Q2" s="1">
        <v>2</v>
      </c>
      <c r="R2" s="1">
        <v>56</v>
      </c>
      <c r="S2" s="1">
        <v>44</v>
      </c>
      <c r="T2" s="1">
        <v>4</v>
      </c>
      <c r="U2" s="1">
        <v>0</v>
      </c>
      <c r="V2" s="1">
        <v>0</v>
      </c>
      <c r="W2" s="1">
        <v>0</v>
      </c>
      <c r="X2" s="1" t="s">
        <v>36</v>
      </c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>
        <f>IF(NOT(ISBLANK(G2)),ABS(G2),0)</f>
        <v>21.668554171385399</v>
      </c>
      <c r="BM2">
        <f>IF(NOT(ISBLANK(AK2)),ABS(AK2),0)</f>
        <v>0</v>
      </c>
      <c r="BN2">
        <f>IF(NOT(ISBLANK(AX2)),ABS(AX2),0)</f>
        <v>0</v>
      </c>
      <c r="BO2">
        <f>IF(NOT(ISBLANK(BK2)),ABS(BK2),0)</f>
        <v>0</v>
      </c>
      <c r="BP2">
        <f>IF(ISBLANK(E2),0,ABS(E2-50))</f>
        <v>38.335220838052095</v>
      </c>
      <c r="BQ2" s="21" t="str">
        <f>IF(OR(ISBLANK(V2),ISBLANK(W2)),"",IF(SUM(V2,W2)=0,"",CONCATENATE(V2,"-",W2)))</f>
        <v/>
      </c>
      <c r="BR2" s="21" t="str">
        <f>IF(OR(AND(OR(AND(A2&gt;75,X2="Final Handicap"),AND(A2&gt;25,X2="1st half Handicap")),OR(AND(G2&gt;20,U2&lt;T2,E2&gt;45),AND(G2&lt;-20,U2&gt;T2,E2&lt;55))),AND(AND(A2-Y2&lt;200,A2-Y2&gt;9),OR(AND(A2&gt;75,X2="Final Handicap"),AND(A2&gt;25,X2="1st half Handicap")),OR(AND(AK2&gt;20,U2&lt;T2,E2&gt;45),AND(AK2&lt;-20,U2&gt;T2,E2&lt;55))),AND(AND(A2-AL2&lt;200,A2-AL2&gt;9),OR(AND(A2&gt;75,X2="Final Handicap"),AND(A2&gt;25,X2="1st half Handicap")),OR(AND(AX2&gt;20,U2&lt;T2,E2&gt;45),AND(AX2&lt;-20,U2&gt;T2,E2&lt;55))),AND(AND(A2-AY2&lt;200,A2-AY2&gt;9),OR(AND(A2&gt;75,X2="Final Handicap"),AND(A2&gt;25,X2="1st half Handicap")),OR(AND(BK2&gt;20,U2&lt;T2,E2&gt;45),AND(BK2&lt;-20,U2&gt;T2,E2&lt;55)))),"GOOD","")</f>
        <v>GOOD</v>
      </c>
      <c r="BS2" s="21"/>
    </row>
    <row r="3" spans="1:107" ht="18" thickBot="1" x14ac:dyDescent="0.35">
      <c r="A3" s="3">
        <v>81</v>
      </c>
      <c r="B3" t="s">
        <v>50</v>
      </c>
      <c r="C3" t="s">
        <v>51</v>
      </c>
      <c r="D3" s="8" t="str">
        <f>IF(ISBLANK(T3),"",CONCATENATE(T3,"-",U3))</f>
        <v>1-0</v>
      </c>
      <c r="E3" s="1">
        <v>52.702702702702602</v>
      </c>
      <c r="F3" s="1">
        <v>43.913043478260803</v>
      </c>
      <c r="G3" s="1">
        <v>8.7896592244418201</v>
      </c>
      <c r="H3" s="1">
        <v>1.75</v>
      </c>
      <c r="I3" s="1">
        <v>1.95</v>
      </c>
      <c r="J3" s="1">
        <v>52</v>
      </c>
      <c r="K3" s="1">
        <v>59</v>
      </c>
      <c r="L3" s="1">
        <v>42</v>
      </c>
      <c r="M3" s="1">
        <v>45</v>
      </c>
      <c r="N3" s="1">
        <v>3</v>
      </c>
      <c r="O3" s="1">
        <v>2</v>
      </c>
      <c r="P3" s="1">
        <v>0</v>
      </c>
      <c r="Q3" s="1">
        <v>6</v>
      </c>
      <c r="R3" s="1">
        <v>47</v>
      </c>
      <c r="S3" s="1">
        <v>53</v>
      </c>
      <c r="T3" s="1">
        <v>1</v>
      </c>
      <c r="U3" s="1">
        <v>0</v>
      </c>
      <c r="V3" s="1">
        <v>0</v>
      </c>
      <c r="W3" s="1">
        <v>0</v>
      </c>
      <c r="X3" s="1" t="s">
        <v>40</v>
      </c>
      <c r="Y3" s="1">
        <v>59</v>
      </c>
      <c r="Z3" s="1">
        <v>52.095808383233503</v>
      </c>
      <c r="AA3" s="1">
        <v>45</v>
      </c>
      <c r="AB3" s="1">
        <v>42</v>
      </c>
      <c r="AC3" s="1">
        <v>35</v>
      </c>
      <c r="AD3" s="1">
        <v>26</v>
      </c>
      <c r="AE3" s="1">
        <v>3</v>
      </c>
      <c r="AF3" s="1">
        <v>1</v>
      </c>
      <c r="AG3" s="1">
        <v>0</v>
      </c>
      <c r="AH3" s="1">
        <v>4</v>
      </c>
      <c r="AI3" s="1">
        <v>49</v>
      </c>
      <c r="AJ3" s="1">
        <v>51</v>
      </c>
      <c r="AK3" s="1">
        <v>29.369369369369299</v>
      </c>
      <c r="AL3" s="1">
        <v>58</v>
      </c>
      <c r="AM3" s="1">
        <v>52.147239263803598</v>
      </c>
      <c r="AN3" s="1">
        <v>44</v>
      </c>
      <c r="AO3" s="1">
        <v>41</v>
      </c>
      <c r="AP3" s="1">
        <v>34</v>
      </c>
      <c r="AQ3" s="1">
        <v>25</v>
      </c>
      <c r="AR3" s="1">
        <v>3</v>
      </c>
      <c r="AS3" s="1">
        <v>1</v>
      </c>
      <c r="AT3" s="1">
        <v>0</v>
      </c>
      <c r="AU3" s="1">
        <v>4</v>
      </c>
      <c r="AV3" s="1">
        <v>49</v>
      </c>
      <c r="AW3" s="1">
        <v>51</v>
      </c>
      <c r="AX3" s="1">
        <v>28.822105687777299</v>
      </c>
      <c r="AY3" s="1">
        <v>56</v>
      </c>
      <c r="AZ3" s="1">
        <v>54.6623794212218</v>
      </c>
      <c r="BA3" s="1">
        <v>44</v>
      </c>
      <c r="BB3" s="1">
        <v>38</v>
      </c>
      <c r="BC3" s="1">
        <v>34</v>
      </c>
      <c r="BD3" s="1">
        <v>21</v>
      </c>
      <c r="BE3" s="1">
        <v>3</v>
      </c>
      <c r="BF3" s="1">
        <v>1</v>
      </c>
      <c r="BG3" s="1">
        <v>0</v>
      </c>
      <c r="BH3" s="1">
        <v>4</v>
      </c>
      <c r="BI3" s="1">
        <v>50</v>
      </c>
      <c r="BJ3" s="1">
        <v>50</v>
      </c>
      <c r="BK3" s="1">
        <v>31.2261926355886</v>
      </c>
      <c r="BL3">
        <f>IF(NOT(ISBLANK(G3)),ABS(G3),0)</f>
        <v>8.7896592244418201</v>
      </c>
      <c r="BM3">
        <f>IF(NOT(ISBLANK(AK3)),ABS(AK3),0)</f>
        <v>29.369369369369299</v>
      </c>
      <c r="BN3">
        <f>IF(NOT(ISBLANK(AX3)),ABS(AX3),0)</f>
        <v>28.822105687777299</v>
      </c>
      <c r="BO3">
        <f>IF(NOT(ISBLANK(BK3)),ABS(BK3),0)</f>
        <v>31.2261926355886</v>
      </c>
      <c r="BP3">
        <f>IF(ISBLANK(E3),0,ABS(E3-50))</f>
        <v>2.7027027027026023</v>
      </c>
      <c r="BQ3" s="21" t="str">
        <f>IF(OR(ISBLANK(V3),ISBLANK(W3)),"",IF(SUM(V3,W3)=0,"",CONCATENATE(V3,"-",W3)))</f>
        <v/>
      </c>
      <c r="BR3" s="21" t="str">
        <f>IF(OR(AND(OR(AND(A3&gt;75,X3="Final Handicap"),AND(A3&gt;25,X3="1st half Handicap")),OR(AND(G3&gt;20,U3&lt;T3,E3&gt;45),AND(G3&lt;-20,U3&gt;T3,E3&lt;55))),AND(AND(A3-Y3&lt;200,A3-Y3&gt;9),OR(AND(A3&gt;75,X3="Final Handicap"),AND(A3&gt;25,X3="1st half Handicap")),OR(AND(AK3&gt;20,U3&lt;T3,E3&gt;45),AND(AK3&lt;-20,U3&gt;T3,E3&lt;55))),AND(AND(A3-AL3&lt;200,A3-AL3&gt;9),OR(AND(A3&gt;75,X3="Final Handicap"),AND(A3&gt;25,X3="1st half Handicap")),OR(AND(AX3&gt;20,U3&lt;T3,E3&gt;45),AND(AX3&lt;-20,U3&gt;T3,E3&lt;55))),AND(AND(A3-AY3&lt;200,A3-AY3&gt;9),OR(AND(A3&gt;75,X3="Final Handicap"),AND(A3&gt;25,X3="1st half Handicap")),OR(AND(BK3&gt;20,U3&lt;T3,E3&gt;45),AND(BK3&lt;-20,U3&gt;T3,E3&lt;55)))),"GOOD","")</f>
        <v>GOOD</v>
      </c>
      <c r="BS3" s="21"/>
      <c r="BV3" s="19"/>
      <c r="BX3" s="19">
        <v>44237.078472222223</v>
      </c>
      <c r="BZ3" s="18" t="s">
        <v>30</v>
      </c>
      <c r="CA3" s="45">
        <v>44463.569594907407</v>
      </c>
      <c r="CB3" s="24">
        <f ca="1">NOW()-$CA$3</f>
        <v>1.8449073832016438E-4</v>
      </c>
    </row>
    <row r="4" spans="1:107" ht="18" thickBot="1" x14ac:dyDescent="0.35">
      <c r="A4" s="3">
        <v>10</v>
      </c>
      <c r="B4" t="s">
        <v>37</v>
      </c>
      <c r="C4" t="s">
        <v>77</v>
      </c>
      <c r="D4" s="8" t="str">
        <f>IF(ISBLANK(T4),"",CONCATENATE(T4,"-",U4))</f>
        <v>0-0</v>
      </c>
      <c r="E4" s="1">
        <v>60.402684563758299</v>
      </c>
      <c r="F4" s="1">
        <v>40.229885057471201</v>
      </c>
      <c r="G4" s="1">
        <v>20.172799506287099</v>
      </c>
      <c r="H4" s="1">
        <v>1.77</v>
      </c>
      <c r="I4" s="1">
        <v>2.7</v>
      </c>
      <c r="J4" s="1">
        <v>14</v>
      </c>
      <c r="K4" s="1">
        <v>10</v>
      </c>
      <c r="L4" s="1">
        <v>7</v>
      </c>
      <c r="M4" s="1">
        <v>8</v>
      </c>
      <c r="N4" s="1">
        <v>0</v>
      </c>
      <c r="O4" s="1">
        <v>0</v>
      </c>
      <c r="P4" s="1">
        <v>0</v>
      </c>
      <c r="Q4" s="1">
        <v>3</v>
      </c>
      <c r="R4" s="1">
        <v>51</v>
      </c>
      <c r="S4" s="1">
        <v>49</v>
      </c>
      <c r="T4" s="1">
        <v>0</v>
      </c>
      <c r="U4" s="1">
        <v>0</v>
      </c>
      <c r="V4" s="1">
        <v>0</v>
      </c>
      <c r="W4" s="1">
        <v>0</v>
      </c>
      <c r="X4" s="1" t="s">
        <v>35</v>
      </c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>
        <f>IF(NOT(ISBLANK(G4)),ABS(G4),0)</f>
        <v>20.172799506287099</v>
      </c>
      <c r="BM4">
        <f>IF(NOT(ISBLANK(AK4)),ABS(AK4),0)</f>
        <v>0</v>
      </c>
      <c r="BN4">
        <f>IF(NOT(ISBLANK(AX4)),ABS(AX4),0)</f>
        <v>0</v>
      </c>
      <c r="BO4">
        <f>IF(NOT(ISBLANK(BK4)),ABS(BK4),0)</f>
        <v>0</v>
      </c>
      <c r="BP4">
        <f>IF(ISBLANK(E4),0,ABS(E4-50))</f>
        <v>10.402684563758299</v>
      </c>
      <c r="BQ4" s="21" t="str">
        <f>IF(OR(ISBLANK(V4),ISBLANK(W4)),"",IF(SUM(V4,W4)=0,"",CONCATENATE(V4,"-",W4)))</f>
        <v/>
      </c>
      <c r="BR4" s="21" t="str">
        <f>IF(OR(AND(OR(AND(A4&gt;75,X4="Final Handicap"),AND(A4&gt;25,X4="1st half Handicap")),OR(AND(G4&gt;20,U4&lt;T4,E4&gt;45),AND(G4&lt;-20,U4&gt;T4,E4&lt;55))),AND(AND(A4-Y4&lt;200,A4-Y4&gt;9),OR(AND(A4&gt;75,X4="Final Handicap"),AND(A4&gt;25,X4="1st half Handicap")),OR(AND(AK4&gt;20,U4&lt;T4,E4&gt;45),AND(AK4&lt;-20,U4&gt;T4,E4&lt;55))),AND(AND(A4-AL4&lt;200,A4-AL4&gt;9),OR(AND(A4&gt;75,X4="Final Handicap"),AND(A4&gt;25,X4="1st half Handicap")),OR(AND(AX4&gt;20,U4&lt;T4,E4&gt;45),AND(AX4&lt;-20,U4&gt;T4,E4&lt;55))),AND(AND(A4-AY4&lt;200,A4-AY4&gt;9),OR(AND(A4&gt;75,X4="Final Handicap"),AND(A4&gt;25,X4="1st half Handicap")),OR(AND(BK4&gt;20,U4&lt;T4,E4&gt;45),AND(BK4&lt;-20,U4&gt;T4,E4&lt;55)))),"GOOD","")</f>
        <v/>
      </c>
      <c r="BS4" s="21"/>
      <c r="BX4">
        <v>3.9699072658549994E-5</v>
      </c>
      <c r="BZ4" s="12" t="s">
        <v>31</v>
      </c>
      <c r="CA4" s="14">
        <v>5.0347225624136627E-5</v>
      </c>
      <c r="CB4" s="13"/>
    </row>
    <row r="5" spans="1:107" ht="17.25" x14ac:dyDescent="0.3">
      <c r="A5" s="3">
        <v>70</v>
      </c>
      <c r="B5" t="s">
        <v>37</v>
      </c>
      <c r="C5" t="s">
        <v>53</v>
      </c>
      <c r="D5" s="8" t="str">
        <f>IF(ISBLANK(T5),"",CONCATENATE(T5,"-",U5))</f>
        <v>0-0</v>
      </c>
      <c r="E5" s="1">
        <v>76.998050682261194</v>
      </c>
      <c r="F5" s="1">
        <v>57.522123893805301</v>
      </c>
      <c r="G5" s="1">
        <v>19.475926788455901</v>
      </c>
      <c r="H5" s="1">
        <v>1.18</v>
      </c>
      <c r="I5" s="1">
        <v>3.95</v>
      </c>
      <c r="J5" s="1">
        <v>64</v>
      </c>
      <c r="K5" s="1">
        <v>63</v>
      </c>
      <c r="L5" s="1">
        <v>52</v>
      </c>
      <c r="M5" s="1">
        <v>35</v>
      </c>
      <c r="N5" s="1">
        <v>2</v>
      </c>
      <c r="O5" s="1">
        <v>1</v>
      </c>
      <c r="P5" s="1">
        <v>3</v>
      </c>
      <c r="Q5" s="1">
        <v>2</v>
      </c>
      <c r="R5" s="1">
        <v>52</v>
      </c>
      <c r="S5" s="1">
        <v>48</v>
      </c>
      <c r="T5" s="1">
        <v>0</v>
      </c>
      <c r="U5" s="1">
        <v>0</v>
      </c>
      <c r="V5" s="1">
        <v>0</v>
      </c>
      <c r="W5" s="1">
        <v>0</v>
      </c>
      <c r="X5" s="1" t="s">
        <v>40</v>
      </c>
      <c r="Y5" s="1">
        <v>48</v>
      </c>
      <c r="Z5" s="1">
        <v>56.657223796033897</v>
      </c>
      <c r="AA5" s="1">
        <v>51</v>
      </c>
      <c r="AB5" s="1">
        <v>51</v>
      </c>
      <c r="AC5" s="1">
        <v>39</v>
      </c>
      <c r="AD5" s="1">
        <v>26</v>
      </c>
      <c r="AE5" s="1">
        <v>1</v>
      </c>
      <c r="AF5" s="1">
        <v>1</v>
      </c>
      <c r="AG5" s="1">
        <v>3</v>
      </c>
      <c r="AH5" s="1">
        <v>2</v>
      </c>
      <c r="AI5" s="1">
        <v>55</v>
      </c>
      <c r="AJ5" s="1">
        <v>45</v>
      </c>
      <c r="AK5" s="1">
        <v>17.204236249271499</v>
      </c>
      <c r="AL5" s="1">
        <v>47</v>
      </c>
      <c r="AM5" s="1">
        <v>55.9420289855072</v>
      </c>
      <c r="AN5" s="1">
        <v>50</v>
      </c>
      <c r="AO5" s="1">
        <v>50</v>
      </c>
      <c r="AP5" s="1">
        <v>37</v>
      </c>
      <c r="AQ5" s="1">
        <v>26</v>
      </c>
      <c r="AR5" s="1">
        <v>1</v>
      </c>
      <c r="AS5" s="1">
        <v>1</v>
      </c>
      <c r="AT5" s="1">
        <v>3</v>
      </c>
      <c r="AU5" s="1">
        <v>2</v>
      </c>
      <c r="AV5" s="1">
        <v>55</v>
      </c>
      <c r="AW5" s="1">
        <v>45</v>
      </c>
      <c r="AX5" s="1">
        <v>14.3812282523546</v>
      </c>
      <c r="AY5" s="1">
        <v>45</v>
      </c>
      <c r="AZ5" s="1">
        <v>52.866242038216498</v>
      </c>
      <c r="BA5" s="1">
        <v>46</v>
      </c>
      <c r="BB5" s="1">
        <v>49</v>
      </c>
      <c r="BC5" s="1">
        <v>32</v>
      </c>
      <c r="BD5" s="1">
        <v>25</v>
      </c>
      <c r="BE5" s="1">
        <v>1</v>
      </c>
      <c r="BF5" s="1">
        <v>1</v>
      </c>
      <c r="BG5" s="1">
        <v>2</v>
      </c>
      <c r="BH5" s="1">
        <v>2</v>
      </c>
      <c r="BI5" s="1">
        <v>54</v>
      </c>
      <c r="BJ5" s="1">
        <v>46</v>
      </c>
      <c r="BK5" s="1">
        <v>8.8821086532757203</v>
      </c>
      <c r="BL5">
        <f>IF(NOT(ISBLANK(G5)),ABS(G5),0)</f>
        <v>19.475926788455901</v>
      </c>
      <c r="BM5">
        <f>IF(NOT(ISBLANK(AK5)),ABS(AK5),0)</f>
        <v>17.204236249271499</v>
      </c>
      <c r="BN5">
        <f>IF(NOT(ISBLANK(AX5)),ABS(AX5),0)</f>
        <v>14.3812282523546</v>
      </c>
      <c r="BO5">
        <f>IF(NOT(ISBLANK(BK5)),ABS(BK5),0)</f>
        <v>8.8821086532757203</v>
      </c>
      <c r="BP5">
        <f>IF(ISBLANK(E5),0,ABS(E5-50))</f>
        <v>26.998050682261194</v>
      </c>
      <c r="BQ5" s="21" t="str">
        <f>IF(OR(ISBLANK(V5),ISBLANK(W5)),"",IF(SUM(V5,W5)=0,"",CONCATENATE(V5,"-",W5)))</f>
        <v/>
      </c>
      <c r="BR5" s="21" t="str">
        <f>IF(OR(AND(OR(AND(A5&gt;75,X5="Final Handicap"),AND(A5&gt;25,X5="1st half Handicap")),OR(AND(G5&gt;20,U5&lt;T5,E5&gt;45),AND(G5&lt;-20,U5&gt;T5,E5&lt;55))),AND(AND(A5-Y5&lt;200,A5-Y5&gt;9),OR(AND(A5&gt;75,X5="Final Handicap"),AND(A5&gt;25,X5="1st half Handicap")),OR(AND(AK5&gt;20,U5&lt;T5,E5&gt;45),AND(AK5&lt;-20,U5&gt;T5,E5&lt;55))),AND(AND(A5-AL5&lt;200,A5-AL5&gt;9),OR(AND(A5&gt;75,X5="Final Handicap"),AND(A5&gt;25,X5="1st half Handicap")),OR(AND(AX5&gt;20,U5&lt;T5,E5&gt;45),AND(AX5&lt;-20,U5&gt;T5,E5&lt;55))),AND(AND(A5-AY5&lt;200,A5-AY5&gt;9),OR(AND(A5&gt;75,X5="Final Handicap"),AND(A5&gt;25,X5="1st half Handicap")),OR(AND(BK5&gt;20,U5&lt;T5,E5&gt;45),AND(BK5&lt;-20,U5&gt;T5,E5&lt;55)))),"GOOD","")</f>
        <v/>
      </c>
      <c r="BS5" s="21"/>
      <c r="CA5" s="13"/>
    </row>
    <row r="6" spans="1:107" ht="17.25" x14ac:dyDescent="0.3">
      <c r="A6" s="3">
        <v>40</v>
      </c>
      <c r="B6" t="s">
        <v>58</v>
      </c>
      <c r="C6" t="s">
        <v>59</v>
      </c>
      <c r="D6" s="8" t="str">
        <f>IF(ISBLANK(T6),"",CONCATENATE(T6,"-",U6))</f>
        <v>0-0</v>
      </c>
      <c r="E6" s="1">
        <v>34.243176178660001</v>
      </c>
      <c r="F6" s="1">
        <v>53.665689149560102</v>
      </c>
      <c r="G6" s="1">
        <v>-19.422512970900002</v>
      </c>
      <c r="H6" s="1">
        <v>2.65</v>
      </c>
      <c r="I6" s="1">
        <v>1.38</v>
      </c>
      <c r="J6" s="1">
        <v>48</v>
      </c>
      <c r="K6" s="1">
        <v>41</v>
      </c>
      <c r="L6" s="1">
        <v>37</v>
      </c>
      <c r="M6" s="1">
        <v>23</v>
      </c>
      <c r="N6" s="1">
        <v>2</v>
      </c>
      <c r="O6" s="1">
        <v>3</v>
      </c>
      <c r="P6" s="1">
        <v>1</v>
      </c>
      <c r="Q6" s="1">
        <v>3</v>
      </c>
      <c r="R6" s="1">
        <v>52</v>
      </c>
      <c r="S6" s="1">
        <v>48</v>
      </c>
      <c r="T6" s="1">
        <v>0</v>
      </c>
      <c r="U6" s="1">
        <v>0</v>
      </c>
      <c r="V6" s="1">
        <v>0</v>
      </c>
      <c r="W6" s="1">
        <v>0</v>
      </c>
      <c r="X6" s="1" t="s">
        <v>36</v>
      </c>
      <c r="Y6" s="1">
        <v>18</v>
      </c>
      <c r="Z6" s="1">
        <v>52.4324324324324</v>
      </c>
      <c r="AA6" s="1">
        <v>30</v>
      </c>
      <c r="AB6" s="1">
        <v>20</v>
      </c>
      <c r="AC6" s="1">
        <v>17</v>
      </c>
      <c r="AD6" s="1">
        <v>12</v>
      </c>
      <c r="AE6" s="1">
        <v>1</v>
      </c>
      <c r="AF6" s="1">
        <v>3</v>
      </c>
      <c r="AG6" s="1">
        <v>1</v>
      </c>
      <c r="AH6" s="1">
        <v>1</v>
      </c>
      <c r="AI6" s="1">
        <v>47</v>
      </c>
      <c r="AJ6" s="1">
        <v>53</v>
      </c>
      <c r="AK6" s="1">
        <v>-20.885028949544999</v>
      </c>
      <c r="AL6" s="1">
        <v>17</v>
      </c>
      <c r="AM6" s="1">
        <v>50</v>
      </c>
      <c r="AN6" s="1">
        <v>26</v>
      </c>
      <c r="AO6" s="1">
        <v>19</v>
      </c>
      <c r="AP6" s="1">
        <v>15</v>
      </c>
      <c r="AQ6" s="1">
        <v>12</v>
      </c>
      <c r="AR6" s="1">
        <v>1</v>
      </c>
      <c r="AS6" s="1">
        <v>3</v>
      </c>
      <c r="AT6" s="1">
        <v>1</v>
      </c>
      <c r="AU6" s="1">
        <v>1</v>
      </c>
      <c r="AV6" s="1">
        <v>47</v>
      </c>
      <c r="AW6" s="1">
        <v>53</v>
      </c>
      <c r="AX6" s="1">
        <v>-23.241853761459701</v>
      </c>
      <c r="AY6" s="1">
        <v>14</v>
      </c>
      <c r="AZ6" s="1">
        <v>51.3333333333333</v>
      </c>
      <c r="BA6" s="1">
        <v>22</v>
      </c>
      <c r="BB6" s="1">
        <v>16</v>
      </c>
      <c r="BC6" s="1">
        <v>13</v>
      </c>
      <c r="BD6" s="1">
        <v>11</v>
      </c>
      <c r="BE6" s="1">
        <v>1</v>
      </c>
      <c r="BF6" s="1">
        <v>3</v>
      </c>
      <c r="BG6" s="1">
        <v>1</v>
      </c>
      <c r="BH6" s="1">
        <v>0</v>
      </c>
      <c r="BI6" s="1">
        <v>46</v>
      </c>
      <c r="BJ6" s="1">
        <v>54</v>
      </c>
      <c r="BK6" s="1">
        <v>-21.254206020292798</v>
      </c>
      <c r="BL6">
        <f>IF(NOT(ISBLANK(G6)),ABS(G6),0)</f>
        <v>19.422512970900002</v>
      </c>
      <c r="BM6">
        <f>IF(NOT(ISBLANK(AK6)),ABS(AK6),0)</f>
        <v>20.885028949544999</v>
      </c>
      <c r="BN6">
        <f>IF(NOT(ISBLANK(AX6)),ABS(AX6),0)</f>
        <v>23.241853761459701</v>
      </c>
      <c r="BO6">
        <f>IF(NOT(ISBLANK(BK6)),ABS(BK6),0)</f>
        <v>21.254206020292798</v>
      </c>
      <c r="BP6">
        <f>IF(ISBLANK(E6),0,ABS(E6-50))</f>
        <v>15.756823821339999</v>
      </c>
      <c r="BQ6" s="21" t="str">
        <f>IF(OR(ISBLANK(V6),ISBLANK(W6)),"",IF(SUM(V6,W6)=0,"",CONCATENATE(V6,"-",W6)))</f>
        <v/>
      </c>
      <c r="BR6" s="21" t="str">
        <f>IF(OR(AND(OR(AND(A6&gt;75,X6="Final Handicap"),AND(A6&gt;25,X6="1st half Handicap")),OR(AND(G6&gt;20,U6&lt;T6,E6&gt;45),AND(G6&lt;-20,U6&gt;T6,E6&lt;55))),AND(AND(A6-Y6&lt;200,A6-Y6&gt;9),OR(AND(A6&gt;75,X6="Final Handicap"),AND(A6&gt;25,X6="1st half Handicap")),OR(AND(AK6&gt;20,U6&lt;T6,E6&gt;45),AND(AK6&lt;-20,U6&gt;T6,E6&lt;55))),AND(AND(A6-AL6&lt;200,A6-AL6&gt;9),OR(AND(A6&gt;75,X6="Final Handicap"),AND(A6&gt;25,X6="1st half Handicap")),OR(AND(AX6&gt;20,U6&lt;T6,E6&gt;45),AND(AX6&lt;-20,U6&gt;T6,E6&lt;55))),AND(AND(A6-AY6&lt;200,A6-AY6&gt;9),OR(AND(A6&gt;75,X6="Final Handicap"),AND(A6&gt;25,X6="1st half Handicap")),OR(AND(BK6&gt;20,U6&lt;T6,E6&gt;45),AND(BK6&lt;-20,U6&gt;T6,E6&lt;55)))),"GOOD","")</f>
        <v/>
      </c>
      <c r="BS6" s="21"/>
      <c r="BZ6" s="39" t="s">
        <v>17</v>
      </c>
      <c r="CA6" s="15" t="s">
        <v>18</v>
      </c>
      <c r="CB6" s="9" t="s">
        <v>21</v>
      </c>
    </row>
    <row r="7" spans="1:107" ht="18" thickBot="1" x14ac:dyDescent="0.35">
      <c r="A7" s="3">
        <v>80</v>
      </c>
      <c r="B7" t="s">
        <v>39</v>
      </c>
      <c r="C7" t="s">
        <v>56</v>
      </c>
      <c r="D7" s="8" t="str">
        <f>IF(ISBLANK(T7),"",CONCATENATE(T7,"-",U7))</f>
        <v>3-1</v>
      </c>
      <c r="E7" s="1">
        <v>84.265581868371299</v>
      </c>
      <c r="F7" s="1">
        <v>69.696969696969703</v>
      </c>
      <c r="G7" s="1">
        <v>14.5686121714016</v>
      </c>
      <c r="H7" s="1">
        <v>1.083</v>
      </c>
      <c r="I7" s="1">
        <v>5.8</v>
      </c>
      <c r="J7" s="1">
        <v>123</v>
      </c>
      <c r="K7" s="1">
        <v>82</v>
      </c>
      <c r="L7" s="1">
        <v>98</v>
      </c>
      <c r="M7" s="1">
        <v>36</v>
      </c>
      <c r="N7" s="1">
        <v>9</v>
      </c>
      <c r="O7" s="1">
        <v>2</v>
      </c>
      <c r="P7" s="1">
        <v>5</v>
      </c>
      <c r="Q7" s="1">
        <v>3</v>
      </c>
      <c r="R7" s="1">
        <v>0</v>
      </c>
      <c r="S7" s="1">
        <v>0</v>
      </c>
      <c r="T7" s="1">
        <v>3</v>
      </c>
      <c r="U7" s="1">
        <v>1</v>
      </c>
      <c r="V7" s="1">
        <v>0</v>
      </c>
      <c r="W7" s="1">
        <v>0</v>
      </c>
      <c r="X7" s="1" t="s">
        <v>40</v>
      </c>
      <c r="Y7" s="1">
        <v>58</v>
      </c>
      <c r="Z7" s="1">
        <v>67.142857142857096</v>
      </c>
      <c r="AA7" s="1">
        <v>94</v>
      </c>
      <c r="AB7" s="1">
        <v>65</v>
      </c>
      <c r="AC7" s="1">
        <v>70</v>
      </c>
      <c r="AD7" s="1">
        <v>29</v>
      </c>
      <c r="AE7" s="1">
        <v>6</v>
      </c>
      <c r="AF7" s="1">
        <v>2</v>
      </c>
      <c r="AG7" s="1">
        <v>3</v>
      </c>
      <c r="AH7" s="1">
        <v>2</v>
      </c>
      <c r="AI7" s="1">
        <v>0</v>
      </c>
      <c r="AJ7" s="1">
        <v>0</v>
      </c>
      <c r="AK7" s="1">
        <v>7.3811597578185797</v>
      </c>
      <c r="AL7" s="1">
        <v>56</v>
      </c>
      <c r="AM7" s="1">
        <v>67.513611615244997</v>
      </c>
      <c r="AN7" s="1">
        <v>93</v>
      </c>
      <c r="AO7" s="1">
        <v>63</v>
      </c>
      <c r="AP7" s="1">
        <v>69</v>
      </c>
      <c r="AQ7" s="1">
        <v>28</v>
      </c>
      <c r="AR7" s="1">
        <v>6</v>
      </c>
      <c r="AS7" s="1">
        <v>2</v>
      </c>
      <c r="AT7" s="1">
        <v>3</v>
      </c>
      <c r="AU7" s="1">
        <v>2</v>
      </c>
      <c r="AV7" s="1">
        <v>0</v>
      </c>
      <c r="AW7" s="1">
        <v>0</v>
      </c>
      <c r="AX7" s="1">
        <v>8.7848126376021103</v>
      </c>
      <c r="AY7" s="1">
        <v>38</v>
      </c>
      <c r="AZ7" s="1">
        <v>64.024390243902403</v>
      </c>
      <c r="BA7" s="1">
        <v>68</v>
      </c>
      <c r="BB7" s="1">
        <v>34</v>
      </c>
      <c r="BC7" s="1">
        <v>42</v>
      </c>
      <c r="BD7" s="1">
        <v>20</v>
      </c>
      <c r="BE7" s="1">
        <v>2</v>
      </c>
      <c r="BF7" s="1">
        <v>1</v>
      </c>
      <c r="BG7" s="1">
        <v>0</v>
      </c>
      <c r="BH7" s="1">
        <v>2</v>
      </c>
      <c r="BI7" s="1">
        <v>0</v>
      </c>
      <c r="BJ7" s="1">
        <v>0</v>
      </c>
      <c r="BK7" s="1">
        <v>10.251660754682201</v>
      </c>
      <c r="BL7">
        <f>IF(NOT(ISBLANK(G7)),ABS(G7),0)</f>
        <v>14.5686121714016</v>
      </c>
      <c r="BM7">
        <f>IF(NOT(ISBLANK(AK7)),ABS(AK7),0)</f>
        <v>7.3811597578185797</v>
      </c>
      <c r="BN7">
        <f>IF(NOT(ISBLANK(AX7)),ABS(AX7),0)</f>
        <v>8.7848126376021103</v>
      </c>
      <c r="BO7">
        <f>IF(NOT(ISBLANK(BK7)),ABS(BK7),0)</f>
        <v>10.251660754682201</v>
      </c>
      <c r="BP7">
        <f>IF(ISBLANK(E7),0,ABS(E7-50))</f>
        <v>34.265581868371299</v>
      </c>
      <c r="BQ7" s="21" t="str">
        <f>IF(OR(ISBLANK(V7),ISBLANK(W7)),"",IF(SUM(V7,W7)=0,"",CONCATENATE(V7,"-",W7)))</f>
        <v/>
      </c>
      <c r="BR7" s="21" t="str">
        <f>IF(OR(AND(OR(AND(A7&gt;75,X7="Final Handicap"),AND(A7&gt;25,X7="1st half Handicap")),OR(AND(G7&gt;20,U7&lt;T7,E7&gt;45),AND(G7&lt;-20,U7&gt;T7,E7&lt;55))),AND(AND(A7-Y7&lt;200,A7-Y7&gt;9),OR(AND(A7&gt;75,X7="Final Handicap"),AND(A7&gt;25,X7="1st half Handicap")),OR(AND(AK7&gt;20,U7&lt;T7,E7&gt;45),AND(AK7&lt;-20,U7&gt;T7,E7&lt;55))),AND(AND(A7-AL7&lt;200,A7-AL7&gt;9),OR(AND(A7&gt;75,X7="Final Handicap"),AND(A7&gt;25,X7="1st half Handicap")),OR(AND(AX7&gt;20,U7&lt;T7,E7&gt;45),AND(AX7&lt;-20,U7&gt;T7,E7&lt;55))),AND(AND(A7-AY7&lt;200,A7-AY7&gt;9),OR(AND(A7&gt;75,X7="Final Handicap"),AND(A7&gt;25,X7="1st half Handicap")),OR(AND(BK7&gt;20,U7&lt;T7,E7&gt;45),AND(BK7&lt;-20,U7&gt;T7,E7&lt;55)))),"GOOD","")</f>
        <v/>
      </c>
      <c r="BS7" s="21"/>
      <c r="BZ7" s="40"/>
      <c r="CA7" s="16" t="s">
        <v>19</v>
      </c>
      <c r="CB7" s="4" t="s">
        <v>22</v>
      </c>
    </row>
    <row r="8" spans="1:107" ht="18" thickBot="1" x14ac:dyDescent="0.35">
      <c r="A8" s="3">
        <v>52</v>
      </c>
      <c r="B8" t="s">
        <v>38</v>
      </c>
      <c r="C8" t="s">
        <v>57</v>
      </c>
      <c r="D8" s="8" t="str">
        <f>IF(ISBLANK(T8),"",CONCATENATE(T8,"-",U8))</f>
        <v>0-0</v>
      </c>
      <c r="E8" s="1">
        <v>74.626865671641696</v>
      </c>
      <c r="F8" s="1">
        <v>61.4617940199335</v>
      </c>
      <c r="G8" s="1">
        <v>13.1650716517082</v>
      </c>
      <c r="H8" s="1">
        <v>1.53</v>
      </c>
      <c r="I8" s="1">
        <v>4.5</v>
      </c>
      <c r="J8" s="1">
        <v>51</v>
      </c>
      <c r="K8" s="1">
        <v>39</v>
      </c>
      <c r="L8" s="1">
        <v>34</v>
      </c>
      <c r="M8" s="1">
        <v>23</v>
      </c>
      <c r="N8" s="1">
        <v>1</v>
      </c>
      <c r="O8" s="1">
        <v>0</v>
      </c>
      <c r="P8" s="1">
        <v>3</v>
      </c>
      <c r="Q8" s="1">
        <v>1</v>
      </c>
      <c r="R8" s="1">
        <v>48</v>
      </c>
      <c r="S8" s="1">
        <v>52</v>
      </c>
      <c r="T8" s="1">
        <v>0</v>
      </c>
      <c r="U8" s="1">
        <v>0</v>
      </c>
      <c r="V8" s="1">
        <v>0</v>
      </c>
      <c r="W8" s="1">
        <v>0</v>
      </c>
      <c r="X8" s="1" t="s">
        <v>35</v>
      </c>
      <c r="Y8" s="1">
        <v>45</v>
      </c>
      <c r="Z8" s="1">
        <v>57.676348547717801</v>
      </c>
      <c r="AA8" s="1">
        <v>37</v>
      </c>
      <c r="AB8" s="1">
        <v>34</v>
      </c>
      <c r="AC8" s="1">
        <v>26</v>
      </c>
      <c r="AD8" s="1">
        <v>20</v>
      </c>
      <c r="AE8" s="1">
        <v>1</v>
      </c>
      <c r="AF8" s="1">
        <v>0</v>
      </c>
      <c r="AG8" s="1">
        <v>2</v>
      </c>
      <c r="AH8" s="1">
        <v>1</v>
      </c>
      <c r="AI8" s="1">
        <v>47</v>
      </c>
      <c r="AJ8" s="1">
        <v>53</v>
      </c>
      <c r="AK8" s="1">
        <v>-1.23520329387545</v>
      </c>
      <c r="AL8" s="1">
        <v>43</v>
      </c>
      <c r="AM8" s="1">
        <v>57.272727272727202</v>
      </c>
      <c r="AN8" s="1">
        <v>33</v>
      </c>
      <c r="AO8" s="1">
        <v>32</v>
      </c>
      <c r="AP8" s="1">
        <v>23</v>
      </c>
      <c r="AQ8" s="1">
        <v>18</v>
      </c>
      <c r="AR8" s="1">
        <v>1</v>
      </c>
      <c r="AS8" s="1">
        <v>0</v>
      </c>
      <c r="AT8" s="1">
        <v>2</v>
      </c>
      <c r="AU8" s="1">
        <v>1</v>
      </c>
      <c r="AV8" s="1">
        <v>47</v>
      </c>
      <c r="AW8" s="1">
        <v>53</v>
      </c>
      <c r="AX8" s="1">
        <v>2.4749669374645702</v>
      </c>
      <c r="AY8" s="1">
        <v>33</v>
      </c>
      <c r="AZ8" s="1">
        <v>70.303030303030297</v>
      </c>
      <c r="BA8" s="1">
        <v>26</v>
      </c>
      <c r="BB8" s="1">
        <v>19</v>
      </c>
      <c r="BC8" s="1">
        <v>22</v>
      </c>
      <c r="BD8" s="1">
        <v>10</v>
      </c>
      <c r="BE8" s="1">
        <v>1</v>
      </c>
      <c r="BF8" s="1">
        <v>0</v>
      </c>
      <c r="BG8" s="1">
        <v>2</v>
      </c>
      <c r="BH8" s="1">
        <v>0</v>
      </c>
      <c r="BI8" s="1">
        <v>54</v>
      </c>
      <c r="BJ8" s="1">
        <v>46</v>
      </c>
      <c r="BK8" s="1">
        <v>23.891571553994702</v>
      </c>
      <c r="BL8">
        <f>IF(NOT(ISBLANK(G8)),ABS(G8),0)</f>
        <v>13.1650716517082</v>
      </c>
      <c r="BM8">
        <f>IF(NOT(ISBLANK(AK8)),ABS(AK8),0)</f>
        <v>1.23520329387545</v>
      </c>
      <c r="BN8">
        <f>IF(NOT(ISBLANK(AX8)),ABS(AX8),0)</f>
        <v>2.4749669374645702</v>
      </c>
      <c r="BO8">
        <f>IF(NOT(ISBLANK(BK8)),ABS(BK8),0)</f>
        <v>23.891571553994702</v>
      </c>
      <c r="BP8">
        <f>IF(ISBLANK(E8),0,ABS(E8-50))</f>
        <v>24.626865671641696</v>
      </c>
      <c r="BQ8" s="21" t="str">
        <f>IF(OR(ISBLANK(V8),ISBLANK(W8)),"",IF(SUM(V8,W8)=0,"",CONCATENATE(V8,"-",W8)))</f>
        <v/>
      </c>
      <c r="BR8" s="21" t="str">
        <f>IF(OR(AND(OR(AND(A8&gt;75,X8="Final Handicap"),AND(A8&gt;25,X8="1st half Handicap")),OR(AND(G8&gt;20,U8&lt;T8,E8&gt;45),AND(G8&lt;-20,U8&gt;T8,E8&lt;55))),AND(AND(A8-Y8&lt;200,A8-Y8&gt;9),OR(AND(A8&gt;75,X8="Final Handicap"),AND(A8&gt;25,X8="1st half Handicap")),OR(AND(AK8&gt;20,U8&lt;T8,E8&gt;45),AND(AK8&lt;-20,U8&gt;T8,E8&lt;55))),AND(AND(A8-AL8&lt;200,A8-AL8&gt;9),OR(AND(A8&gt;75,X8="Final Handicap"),AND(A8&gt;25,X8="1st half Handicap")),OR(AND(AX8&gt;20,U8&lt;T8,E8&gt;45),AND(AX8&lt;-20,U8&gt;T8,E8&lt;55))),AND(AND(A8-AY8&lt;200,A8-AY8&gt;9),OR(AND(A8&gt;75,X8="Final Handicap"),AND(A8&gt;25,X8="1st half Handicap")),OR(AND(BK8&gt;20,U8&lt;T8,E8&gt;45),AND(BK8&lt;-20,U8&gt;T8,E8&lt;55)))),"GOOD","")</f>
        <v/>
      </c>
      <c r="BS8" s="21"/>
      <c r="BT8" s="25" t="s">
        <v>31</v>
      </c>
      <c r="BU8" s="44">
        <v>44463.569594907407</v>
      </c>
      <c r="BV8" s="26">
        <v>44463.554305555554</v>
      </c>
      <c r="BW8" s="26">
        <v>44463.553483796299</v>
      </c>
      <c r="BX8" s="26">
        <v>44463.551747685182</v>
      </c>
      <c r="BZ8" s="39" t="s">
        <v>20</v>
      </c>
      <c r="CA8" s="15" t="s">
        <v>18</v>
      </c>
      <c r="CB8" s="9" t="s">
        <v>23</v>
      </c>
    </row>
    <row r="9" spans="1:107" ht="15" customHeight="1" thickBot="1" x14ac:dyDescent="0.35">
      <c r="A9" s="3">
        <v>51</v>
      </c>
      <c r="B9" t="s">
        <v>54</v>
      </c>
      <c r="C9" t="s">
        <v>55</v>
      </c>
      <c r="D9" s="8" t="str">
        <f>IF(ISBLANK(T9),"",CONCATENATE(T9,"-",U9))</f>
        <v>1-0</v>
      </c>
      <c r="E9" s="1">
        <v>59.734513274336202</v>
      </c>
      <c r="F9" s="1">
        <v>46.892655367231598</v>
      </c>
      <c r="G9" s="1">
        <v>12.8418579071046</v>
      </c>
      <c r="H9" s="1">
        <v>1.82</v>
      </c>
      <c r="I9" s="1">
        <v>2.7</v>
      </c>
      <c r="J9" s="1">
        <v>54</v>
      </c>
      <c r="K9" s="1">
        <v>52</v>
      </c>
      <c r="L9" s="1">
        <v>33</v>
      </c>
      <c r="M9" s="1">
        <v>34</v>
      </c>
      <c r="N9" s="1">
        <v>6</v>
      </c>
      <c r="O9" s="1">
        <v>6</v>
      </c>
      <c r="P9" s="1">
        <v>6</v>
      </c>
      <c r="Q9" s="1">
        <v>10</v>
      </c>
      <c r="R9" s="1">
        <v>50</v>
      </c>
      <c r="S9" s="1">
        <v>50</v>
      </c>
      <c r="T9" s="1">
        <v>1</v>
      </c>
      <c r="U9" s="1">
        <v>0</v>
      </c>
      <c r="V9" s="1">
        <v>0</v>
      </c>
      <c r="W9" s="1">
        <v>0</v>
      </c>
      <c r="X9" s="1" t="s">
        <v>35</v>
      </c>
      <c r="Y9" s="1">
        <v>44</v>
      </c>
      <c r="Z9" s="1">
        <v>42.792792792792703</v>
      </c>
      <c r="AA9" s="1">
        <v>41</v>
      </c>
      <c r="AB9" s="1">
        <v>42</v>
      </c>
      <c r="AC9" s="1">
        <v>23</v>
      </c>
      <c r="AD9" s="1">
        <v>28</v>
      </c>
      <c r="AE9" s="1">
        <v>5</v>
      </c>
      <c r="AF9" s="1">
        <v>6</v>
      </c>
      <c r="AG9" s="1">
        <v>5</v>
      </c>
      <c r="AH9" s="1">
        <v>10</v>
      </c>
      <c r="AI9" s="1">
        <v>49</v>
      </c>
      <c r="AJ9" s="1">
        <v>51</v>
      </c>
      <c r="AK9" s="1">
        <v>-6.5305469666275702</v>
      </c>
      <c r="AL9" s="1">
        <v>43</v>
      </c>
      <c r="AM9" s="1">
        <v>45.542168674698701</v>
      </c>
      <c r="AN9" s="1">
        <v>40</v>
      </c>
      <c r="AO9" s="1">
        <v>41</v>
      </c>
      <c r="AP9" s="1">
        <v>23</v>
      </c>
      <c r="AQ9" s="1">
        <v>27</v>
      </c>
      <c r="AR9" s="1">
        <v>5</v>
      </c>
      <c r="AS9" s="1">
        <v>3</v>
      </c>
      <c r="AT9" s="1">
        <v>5</v>
      </c>
      <c r="AU9" s="1">
        <v>10</v>
      </c>
      <c r="AV9" s="1">
        <v>49</v>
      </c>
      <c r="AW9" s="1">
        <v>51</v>
      </c>
      <c r="AX9" s="1">
        <v>6.9043245950910004</v>
      </c>
      <c r="AY9" s="1">
        <v>8</v>
      </c>
      <c r="AZ9" s="1">
        <v>43.877551020408099</v>
      </c>
      <c r="BA9" s="1">
        <v>10</v>
      </c>
      <c r="BB9" s="1">
        <v>7</v>
      </c>
      <c r="BC9" s="1">
        <v>7</v>
      </c>
      <c r="BD9" s="1">
        <v>6</v>
      </c>
      <c r="BE9" s="1">
        <v>1</v>
      </c>
      <c r="BF9" s="1">
        <v>1</v>
      </c>
      <c r="BG9" s="1">
        <v>1</v>
      </c>
      <c r="BH9" s="1">
        <v>4</v>
      </c>
      <c r="BI9" s="1">
        <v>52</v>
      </c>
      <c r="BJ9" s="1">
        <v>48</v>
      </c>
      <c r="BK9" s="1">
        <v>11.524489407987801</v>
      </c>
      <c r="BL9">
        <f>IF(NOT(ISBLANK(G9)),ABS(G9),0)</f>
        <v>12.8418579071046</v>
      </c>
      <c r="BM9">
        <f>IF(NOT(ISBLANK(AK9)),ABS(AK9),0)</f>
        <v>6.5305469666275702</v>
      </c>
      <c r="BN9">
        <f>IF(NOT(ISBLANK(AX9)),ABS(AX9),0)</f>
        <v>6.9043245950910004</v>
      </c>
      <c r="BO9">
        <f>IF(NOT(ISBLANK(BK9)),ABS(BK9),0)</f>
        <v>11.524489407987801</v>
      </c>
      <c r="BP9">
        <f>IF(ISBLANK(E9),0,ABS(E9-50))</f>
        <v>9.7345132743362015</v>
      </c>
      <c r="BQ9" s="21" t="str">
        <f>IF(OR(ISBLANK(V9),ISBLANK(W9)),"",IF(SUM(V9,W9)=0,"",CONCATENATE(V9,"-",W9)))</f>
        <v/>
      </c>
      <c r="BR9" s="21" t="str">
        <f>IF(OR(AND(OR(AND(A9&gt;75,X9="Final Handicap"),AND(A9&gt;25,X9="1st half Handicap")),OR(AND(G9&gt;20,U9&lt;T9,E9&gt;45),AND(G9&lt;-20,U9&gt;T9,E9&lt;55))),AND(AND(A9-Y9&lt;200,A9-Y9&gt;9),OR(AND(A9&gt;75,X9="Final Handicap"),AND(A9&gt;25,X9="1st half Handicap")),OR(AND(AK9&gt;20,U9&lt;T9,E9&gt;45),AND(AK9&lt;-20,U9&gt;T9,E9&lt;55))),AND(AND(A9-AL9&lt;200,A9-AL9&gt;9),OR(AND(A9&gt;75,X9="Final Handicap"),AND(A9&gt;25,X9="1st half Handicap")),OR(AND(AX9&gt;20,U9&lt;T9,E9&gt;45),AND(AX9&lt;-20,U9&gt;T9,E9&lt;55))),AND(AND(A9-AY9&lt;200,A9-AY9&gt;9),OR(AND(A9&gt;75,X9="Final Handicap"),AND(A9&gt;25,X9="1st half Handicap")),OR(AND(BK9&gt;20,U9&lt;T9,E9&gt;45),AND(BK9&lt;-20,U9&gt;T9,E9&lt;55)))),"GOOD","")</f>
        <v/>
      </c>
      <c r="BS9" s="21"/>
      <c r="BT9" s="27" t="str">
        <f ca="1">INDIRECT(ADDRESS(BU10,24))</f>
        <v>Next Goal</v>
      </c>
      <c r="BU9" s="41" t="s">
        <v>32</v>
      </c>
      <c r="BV9" s="42"/>
      <c r="BW9" s="42"/>
      <c r="BX9" s="43"/>
      <c r="BZ9" s="40"/>
      <c r="CA9" s="17" t="s">
        <v>19</v>
      </c>
      <c r="CB9" s="5" t="s">
        <v>24</v>
      </c>
    </row>
    <row r="10" spans="1:107" ht="14.45" customHeight="1" x14ac:dyDescent="0.3">
      <c r="A10" s="3">
        <v>78</v>
      </c>
      <c r="B10" t="s">
        <v>38</v>
      </c>
      <c r="C10" t="s">
        <v>52</v>
      </c>
      <c r="D10" s="8" t="str">
        <f>IF(ISBLANK(T10),"",CONCATENATE(T10,"-",U10))</f>
        <v>1-0</v>
      </c>
      <c r="E10" s="1">
        <v>76.3888888888888</v>
      </c>
      <c r="F10" s="1">
        <v>63.8671875</v>
      </c>
      <c r="G10" s="1">
        <v>12.5217013888888</v>
      </c>
      <c r="H10" s="1">
        <v>1.19</v>
      </c>
      <c r="I10" s="1">
        <v>3.85</v>
      </c>
      <c r="J10" s="1">
        <v>92</v>
      </c>
      <c r="K10" s="1">
        <v>62</v>
      </c>
      <c r="L10" s="1">
        <v>49</v>
      </c>
      <c r="M10" s="1">
        <v>25</v>
      </c>
      <c r="N10" s="1">
        <v>6</v>
      </c>
      <c r="O10" s="1">
        <v>1</v>
      </c>
      <c r="P10" s="1">
        <v>5</v>
      </c>
      <c r="Q10" s="1">
        <v>5</v>
      </c>
      <c r="R10" s="1">
        <v>57</v>
      </c>
      <c r="S10" s="1">
        <v>43</v>
      </c>
      <c r="T10" s="1">
        <v>1</v>
      </c>
      <c r="U10" s="1">
        <v>0</v>
      </c>
      <c r="V10" s="1">
        <v>0</v>
      </c>
      <c r="W10" s="1">
        <v>0</v>
      </c>
      <c r="X10" s="1" t="s">
        <v>40</v>
      </c>
      <c r="Y10" s="1">
        <v>56</v>
      </c>
      <c r="Z10" s="1">
        <v>65.486725663716797</v>
      </c>
      <c r="AA10" s="1">
        <v>62</v>
      </c>
      <c r="AB10" s="1">
        <v>43</v>
      </c>
      <c r="AC10" s="1">
        <v>32</v>
      </c>
      <c r="AD10" s="1">
        <v>14</v>
      </c>
      <c r="AE10" s="1">
        <v>4</v>
      </c>
      <c r="AF10" s="1">
        <v>1</v>
      </c>
      <c r="AG10" s="1">
        <v>4</v>
      </c>
      <c r="AH10" s="1">
        <v>3</v>
      </c>
      <c r="AI10" s="1">
        <v>58</v>
      </c>
      <c r="AJ10" s="1">
        <v>42</v>
      </c>
      <c r="AK10" s="1">
        <v>15.6952472703917</v>
      </c>
      <c r="AL10" s="1">
        <v>54</v>
      </c>
      <c r="AM10" s="1">
        <v>64.417177914110397</v>
      </c>
      <c r="AN10" s="1">
        <v>61</v>
      </c>
      <c r="AO10" s="1">
        <v>42</v>
      </c>
      <c r="AP10" s="1">
        <v>31</v>
      </c>
      <c r="AQ10" s="1">
        <v>14</v>
      </c>
      <c r="AR10" s="1">
        <v>4</v>
      </c>
      <c r="AS10" s="1">
        <v>1</v>
      </c>
      <c r="AT10" s="1">
        <v>3</v>
      </c>
      <c r="AU10" s="1">
        <v>3</v>
      </c>
      <c r="AV10" s="1">
        <v>58</v>
      </c>
      <c r="AW10" s="1">
        <v>42</v>
      </c>
      <c r="AX10" s="1">
        <v>13.485663082437201</v>
      </c>
      <c r="AY10" s="1">
        <v>52</v>
      </c>
      <c r="AZ10" s="1">
        <v>63.836477987421297</v>
      </c>
      <c r="BA10" s="1">
        <v>60</v>
      </c>
      <c r="BB10" s="1">
        <v>41</v>
      </c>
      <c r="BC10" s="1">
        <v>29</v>
      </c>
      <c r="BD10" s="1">
        <v>14</v>
      </c>
      <c r="BE10" s="1">
        <v>4</v>
      </c>
      <c r="BF10" s="1">
        <v>1</v>
      </c>
      <c r="BG10" s="1">
        <v>3</v>
      </c>
      <c r="BH10" s="1">
        <v>3</v>
      </c>
      <c r="BI10" s="1">
        <v>57</v>
      </c>
      <c r="BJ10" s="1">
        <v>43</v>
      </c>
      <c r="BK10" s="1">
        <v>12.471363115693</v>
      </c>
      <c r="BL10">
        <f>IF(NOT(ISBLANK(G10)),ABS(G10),0)</f>
        <v>12.5217013888888</v>
      </c>
      <c r="BM10">
        <f>IF(NOT(ISBLANK(AK10)),ABS(AK10),0)</f>
        <v>15.6952472703917</v>
      </c>
      <c r="BN10">
        <f>IF(NOT(ISBLANK(AX10)),ABS(AX10),0)</f>
        <v>13.485663082437201</v>
      </c>
      <c r="BO10">
        <f>IF(NOT(ISBLANK(BK10)),ABS(BK10),0)</f>
        <v>12.471363115693</v>
      </c>
      <c r="BP10">
        <f>IF(ISBLANK(E10),0,ABS(E10-50))</f>
        <v>26.3888888888888</v>
      </c>
      <c r="BQ10" s="21" t="str">
        <f>IF(OR(ISBLANK(V10),ISBLANK(W10)),"",IF(SUM(V10,W10)=0,"",CONCATENATE(V10,"-",W10)))</f>
        <v/>
      </c>
      <c r="BR10" s="21" t="str">
        <f>IF(OR(AND(OR(AND(A10&gt;75,X10="Final Handicap"),AND(A10&gt;25,X10="1st half Handicap")),OR(AND(G10&gt;20,U10&lt;T10,E10&gt;45),AND(G10&lt;-20,U10&gt;T10,E10&lt;55))),AND(AND(A10-Y10&lt;200,A10-Y10&gt;9),OR(AND(A10&gt;75,X10="Final Handicap"),AND(A10&gt;25,X10="1st half Handicap")),OR(AND(AK10&gt;20,U10&lt;T10,E10&gt;45),AND(AK10&lt;-20,U10&gt;T10,E10&lt;55))),AND(AND(A10-AL10&lt;200,A10-AL10&gt;9),OR(AND(A10&gt;75,X10="Final Handicap"),AND(A10&gt;25,X10="1st half Handicap")),OR(AND(AX10&gt;20,U10&lt;T10,E10&gt;45),AND(AX10&lt;-20,U10&gt;T10,E10&lt;55))),AND(AND(A10-AY10&lt;200,A10-AY10&gt;9),OR(AND(A10&gt;75,X10="Final Handicap"),AND(A10&gt;25,X10="1st half Handicap")),OR(AND(BK10&gt;20,U10&lt;T10,E10&gt;45),AND(BK10&lt;-20,U10&gt;T10,E10&lt;55)))),"GOOD","")</f>
        <v/>
      </c>
      <c r="BS10" s="21"/>
      <c r="BT10" s="28"/>
      <c r="BU10" s="30">
        <v>8</v>
      </c>
      <c r="BV10" s="31"/>
      <c r="BW10" s="31"/>
      <c r="BX10" s="32"/>
      <c r="BZ10" s="39" t="s">
        <v>25</v>
      </c>
      <c r="CA10" s="10" t="s">
        <v>26</v>
      </c>
      <c r="CB10" s="4" t="s">
        <v>28</v>
      </c>
    </row>
    <row r="11" spans="1:107" ht="15" customHeight="1" thickBot="1" x14ac:dyDescent="0.35">
      <c r="A11" s="3">
        <v>23</v>
      </c>
      <c r="B11" t="s">
        <v>38</v>
      </c>
      <c r="C11" t="s">
        <v>74</v>
      </c>
      <c r="D11" s="8" t="str">
        <f>IF(ISBLANK(T11),"",CONCATENATE(T11,"-",U11))</f>
        <v>0-0</v>
      </c>
      <c r="E11" s="1">
        <v>41.025641025641001</v>
      </c>
      <c r="F11" s="1">
        <v>50.318471337579602</v>
      </c>
      <c r="G11" s="1">
        <v>-9.2928303119385909</v>
      </c>
      <c r="H11" s="1">
        <v>2.2999999999999998</v>
      </c>
      <c r="I11" s="1">
        <v>1.6</v>
      </c>
      <c r="J11" s="1">
        <v>25</v>
      </c>
      <c r="K11" s="1">
        <v>24</v>
      </c>
      <c r="L11" s="1">
        <v>10</v>
      </c>
      <c r="M11" s="1">
        <v>10</v>
      </c>
      <c r="N11" s="1">
        <v>2</v>
      </c>
      <c r="O11" s="1">
        <v>2</v>
      </c>
      <c r="P11" s="1">
        <v>1</v>
      </c>
      <c r="Q11" s="1">
        <v>1</v>
      </c>
      <c r="R11" s="1">
        <v>57</v>
      </c>
      <c r="S11" s="1">
        <v>43</v>
      </c>
      <c r="T11" s="1">
        <v>0</v>
      </c>
      <c r="U11" s="1">
        <v>0</v>
      </c>
      <c r="V11" s="1">
        <v>0</v>
      </c>
      <c r="W11" s="1">
        <v>0</v>
      </c>
      <c r="X11" s="1" t="s">
        <v>35</v>
      </c>
      <c r="Y11" s="1">
        <v>1</v>
      </c>
      <c r="Z11" s="1">
        <v>0</v>
      </c>
      <c r="AA11" s="1">
        <v>3</v>
      </c>
      <c r="AB11" s="1">
        <v>3</v>
      </c>
      <c r="AC11" s="1">
        <v>1</v>
      </c>
      <c r="AD11" s="1">
        <v>1</v>
      </c>
      <c r="AE11" s="1">
        <v>0</v>
      </c>
      <c r="AF11" s="1">
        <v>0</v>
      </c>
      <c r="AG11" s="1">
        <v>0</v>
      </c>
      <c r="AH11" s="1">
        <v>0</v>
      </c>
      <c r="AI11" s="1">
        <v>59</v>
      </c>
      <c r="AJ11" s="1">
        <v>41</v>
      </c>
      <c r="AK11" s="1">
        <v>-9.3191865605658695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/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/>
      <c r="BL11">
        <f>IF(NOT(ISBLANK(G11)),ABS(G11),0)</f>
        <v>9.2928303119385909</v>
      </c>
      <c r="BM11">
        <f>IF(NOT(ISBLANK(AK11)),ABS(AK11),0)</f>
        <v>9.3191865605658695</v>
      </c>
      <c r="BN11">
        <f>IF(NOT(ISBLANK(AX11)),ABS(AX11),0)</f>
        <v>0</v>
      </c>
      <c r="BO11">
        <f>IF(NOT(ISBLANK(BK11)),ABS(BK11),0)</f>
        <v>0</v>
      </c>
      <c r="BP11">
        <f>IF(ISBLANK(E11),0,ABS(E11-50))</f>
        <v>8.9743589743589993</v>
      </c>
      <c r="BQ11" s="21" t="str">
        <f>IF(OR(ISBLANK(V11),ISBLANK(W11)),"",IF(SUM(V11,W11)=0,"",CONCATENATE(V11,"-",W11)))</f>
        <v/>
      </c>
      <c r="BR11" s="21" t="str">
        <f>IF(OR(AND(OR(AND(A11&gt;75,X11="Final Handicap"),AND(A11&gt;25,X11="1st half Handicap")),OR(AND(G11&gt;20,U11&lt;T11,E11&gt;45),AND(G11&lt;-20,U11&gt;T11,E11&lt;55))),AND(AND(A11-Y11&lt;200,A11-Y11&gt;9),OR(AND(A11&gt;75,X11="Final Handicap"),AND(A11&gt;25,X11="1st half Handicap")),OR(AND(AK11&gt;20,U11&lt;T11,E11&gt;45),AND(AK11&lt;-20,U11&gt;T11,E11&lt;55))),AND(AND(A11-AL11&lt;200,A11-AL11&gt;9),OR(AND(A11&gt;75,X11="Final Handicap"),AND(A11&gt;25,X11="1st half Handicap")),OR(AND(AX11&gt;20,U11&lt;T11,E11&gt;45),AND(AX11&lt;-20,U11&gt;T11,E11&lt;55))),AND(AND(A11-AY11&lt;200,A11-AY11&gt;9),OR(AND(A11&gt;75,X11="Final Handicap"),AND(A11&gt;25,X11="1st half Handicap")),OR(AND(BK11&gt;20,U11&lt;T11,E11&gt;45),AND(BK11&lt;-20,U11&gt;T11,E11&lt;55)))),"GOOD","")</f>
        <v/>
      </c>
      <c r="BS11" s="21"/>
      <c r="BT11" s="29"/>
      <c r="BU11" s="33"/>
      <c r="BV11" s="34"/>
      <c r="BW11" s="34"/>
      <c r="BX11" s="35"/>
      <c r="BZ11" s="40"/>
      <c r="CA11" s="11" t="s">
        <v>27</v>
      </c>
      <c r="CB11" s="5" t="s">
        <v>29</v>
      </c>
    </row>
    <row r="12" spans="1:107" ht="18" thickBot="1" x14ac:dyDescent="0.35">
      <c r="A12" s="3">
        <v>81</v>
      </c>
      <c r="B12" t="s">
        <v>37</v>
      </c>
      <c r="C12" t="s">
        <v>68</v>
      </c>
      <c r="D12" s="8" t="str">
        <f>IF(ISBLANK(T12),"",CONCATENATE(T12,"-",U12))</f>
        <v>1-1</v>
      </c>
      <c r="E12" s="1">
        <v>78.087649402390397</v>
      </c>
      <c r="F12" s="1">
        <v>70.498084291187695</v>
      </c>
      <c r="G12" s="1">
        <v>7.5895651112026998</v>
      </c>
      <c r="H12" s="1">
        <v>2.75</v>
      </c>
      <c r="I12" s="1">
        <v>9.8000000000000007</v>
      </c>
      <c r="J12" s="1">
        <v>97</v>
      </c>
      <c r="K12" s="1">
        <v>49</v>
      </c>
      <c r="L12" s="1">
        <v>61</v>
      </c>
      <c r="M12" s="1">
        <v>27</v>
      </c>
      <c r="N12" s="1">
        <v>3</v>
      </c>
      <c r="O12" s="1">
        <v>2</v>
      </c>
      <c r="P12" s="1">
        <v>8</v>
      </c>
      <c r="Q12" s="1">
        <v>1</v>
      </c>
      <c r="R12" s="1">
        <v>66</v>
      </c>
      <c r="S12" s="1">
        <v>34</v>
      </c>
      <c r="T12" s="1">
        <v>1</v>
      </c>
      <c r="U12" s="1">
        <v>1</v>
      </c>
      <c r="V12" s="1">
        <v>0</v>
      </c>
      <c r="W12" s="1">
        <v>1</v>
      </c>
      <c r="X12" s="1" t="s">
        <v>35</v>
      </c>
      <c r="Y12" s="1">
        <v>59</v>
      </c>
      <c r="Z12" s="1">
        <v>67.587939698492406</v>
      </c>
      <c r="AA12" s="1">
        <v>63</v>
      </c>
      <c r="AB12" s="1">
        <v>38</v>
      </c>
      <c r="AC12" s="1">
        <v>42</v>
      </c>
      <c r="AD12" s="1">
        <v>25</v>
      </c>
      <c r="AE12" s="1">
        <v>3</v>
      </c>
      <c r="AF12" s="1">
        <v>1</v>
      </c>
      <c r="AG12" s="1">
        <v>7</v>
      </c>
      <c r="AH12" s="1">
        <v>1</v>
      </c>
      <c r="AI12" s="1">
        <v>62</v>
      </c>
      <c r="AJ12" s="1">
        <v>38</v>
      </c>
      <c r="AK12" s="1">
        <v>-1.7510602750289099</v>
      </c>
      <c r="AL12" s="1">
        <v>58</v>
      </c>
      <c r="AM12" s="1">
        <v>67.4300254452926</v>
      </c>
      <c r="AN12" s="1">
        <v>62</v>
      </c>
      <c r="AO12" s="1">
        <v>37</v>
      </c>
      <c r="AP12" s="1">
        <v>41</v>
      </c>
      <c r="AQ12" s="1">
        <v>25</v>
      </c>
      <c r="AR12" s="1">
        <v>3</v>
      </c>
      <c r="AS12" s="1">
        <v>1</v>
      </c>
      <c r="AT12" s="1">
        <v>7</v>
      </c>
      <c r="AU12" s="1">
        <v>1</v>
      </c>
      <c r="AV12" s="1">
        <v>61</v>
      </c>
      <c r="AW12" s="1">
        <v>39</v>
      </c>
      <c r="AX12" s="1">
        <v>-1.75731183791964</v>
      </c>
      <c r="AY12" s="1">
        <v>3</v>
      </c>
      <c r="AZ12" s="1">
        <v>0</v>
      </c>
      <c r="BA12" s="1">
        <v>2</v>
      </c>
      <c r="BB12" s="1">
        <v>5</v>
      </c>
      <c r="BC12" s="1">
        <v>1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30</v>
      </c>
      <c r="BJ12" s="1">
        <v>70</v>
      </c>
      <c r="BK12" s="1">
        <v>7.1892119023904399</v>
      </c>
      <c r="BL12">
        <f>IF(NOT(ISBLANK(G12)),ABS(G12),0)</f>
        <v>7.5895651112026998</v>
      </c>
      <c r="BM12">
        <f>IF(NOT(ISBLANK(AK12)),ABS(AK12),0)</f>
        <v>1.7510602750289099</v>
      </c>
      <c r="BN12">
        <f>IF(NOT(ISBLANK(AX12)),ABS(AX12),0)</f>
        <v>1.75731183791964</v>
      </c>
      <c r="BO12">
        <f>IF(NOT(ISBLANK(BK12)),ABS(BK12),0)</f>
        <v>7.1892119023904399</v>
      </c>
      <c r="BP12">
        <f>IF(ISBLANK(E12),0,ABS(E12-50))</f>
        <v>28.087649402390397</v>
      </c>
      <c r="BQ12" s="21" t="str">
        <f>IF(OR(ISBLANK(V12),ISBLANK(W12)),"",IF(SUM(V12,W12)=0,"",CONCATENATE(V12,"-",W12)))</f>
        <v>0-1</v>
      </c>
      <c r="BR12" s="21" t="str">
        <f>IF(OR(AND(OR(AND(A12&gt;75,X12="Final Handicap"),AND(A12&gt;25,X12="1st half Handicap")),OR(AND(G12&gt;20,U12&lt;T12,E12&gt;45),AND(G12&lt;-20,U12&gt;T12,E12&lt;55))),AND(AND(A12-Y12&lt;200,A12-Y12&gt;9),OR(AND(A12&gt;75,X12="Final Handicap"),AND(A12&gt;25,X12="1st half Handicap")),OR(AND(AK12&gt;20,U12&lt;T12,E12&gt;45),AND(AK12&lt;-20,U12&gt;T12,E12&lt;55))),AND(AND(A12-AL12&lt;200,A12-AL12&gt;9),OR(AND(A12&gt;75,X12="Final Handicap"),AND(A12&gt;25,X12="1st half Handicap")),OR(AND(AX12&gt;20,U12&lt;T12,E12&gt;45),AND(AX12&lt;-20,U12&gt;T12,E12&lt;55))),AND(AND(A12-AY12&lt;200,A12-AY12&gt;9),OR(AND(A12&gt;75,X12="Final Handicap"),AND(A12&gt;25,X12="1st half Handicap")),OR(AND(BK12&gt;20,U12&lt;T12,E12&gt;45),AND(BK12&lt;-20,U12&gt;T12,E12&lt;55)))),"GOOD","")</f>
        <v/>
      </c>
      <c r="BS12" s="21"/>
      <c r="BT12" s="7" t="str">
        <f ca="1">CONCATENATE("Game - (",INDIRECT(ADDRESS(BU10,4)),")")</f>
        <v>Game - (0-0)</v>
      </c>
      <c r="BU12" s="36" t="str">
        <f ca="1">INDIRECT(ADDRESS(BU10,3))</f>
        <v>Hapoel Mahane Yehuda - Shimshon Bnei Taibe</v>
      </c>
      <c r="BV12" s="37"/>
      <c r="BW12" s="37"/>
      <c r="BX12" s="38"/>
    </row>
    <row r="13" spans="1:107" ht="18" thickBot="1" x14ac:dyDescent="0.35">
      <c r="A13" s="3">
        <v>18</v>
      </c>
      <c r="B13" t="s">
        <v>72</v>
      </c>
      <c r="C13" t="s">
        <v>78</v>
      </c>
      <c r="D13" s="8" t="str">
        <f>IF(ISBLANK(T13),"",CONCATENATE(T13,"-",U13))</f>
        <v>0-0</v>
      </c>
      <c r="E13" s="1">
        <v>57.692307692307601</v>
      </c>
      <c r="F13" s="1">
        <v>50.303030303030297</v>
      </c>
      <c r="G13" s="1">
        <v>7.38927738927738</v>
      </c>
      <c r="H13" s="1">
        <v>1.65</v>
      </c>
      <c r="I13" s="1">
        <v>2.25</v>
      </c>
      <c r="J13" s="1">
        <v>22</v>
      </c>
      <c r="K13" s="1">
        <v>22</v>
      </c>
      <c r="L13" s="1">
        <v>15</v>
      </c>
      <c r="M13" s="1">
        <v>20</v>
      </c>
      <c r="N13" s="1">
        <v>1</v>
      </c>
      <c r="O13" s="1">
        <v>0</v>
      </c>
      <c r="P13" s="1">
        <v>1</v>
      </c>
      <c r="Q13" s="1">
        <v>0</v>
      </c>
      <c r="R13" s="1">
        <v>46</v>
      </c>
      <c r="S13" s="1">
        <v>54</v>
      </c>
      <c r="T13" s="1">
        <v>0</v>
      </c>
      <c r="U13" s="1">
        <v>0</v>
      </c>
      <c r="V13" s="1">
        <v>0</v>
      </c>
      <c r="W13" s="1">
        <v>0</v>
      </c>
      <c r="X13" s="1" t="s">
        <v>35</v>
      </c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>
        <f>IF(NOT(ISBLANK(G13)),ABS(G13),0)</f>
        <v>7.38927738927738</v>
      </c>
      <c r="BM13">
        <f>IF(NOT(ISBLANK(AK13)),ABS(AK13),0)</f>
        <v>0</v>
      </c>
      <c r="BN13">
        <f>IF(NOT(ISBLANK(AX13)),ABS(AX13),0)</f>
        <v>0</v>
      </c>
      <c r="BO13">
        <f>IF(NOT(ISBLANK(BK13)),ABS(BK13),0)</f>
        <v>0</v>
      </c>
      <c r="BP13">
        <f>IF(ISBLANK(E13),0,ABS(E13-50))</f>
        <v>7.692307692307601</v>
      </c>
      <c r="BQ13" s="21" t="str">
        <f>IF(OR(ISBLANK(V13),ISBLANK(W13)),"",IF(SUM(V13,W13)=0,"",CONCATENATE(V13,"-",W13)))</f>
        <v/>
      </c>
      <c r="BR13" s="21" t="str">
        <f>IF(OR(AND(OR(AND(A13&gt;75,X13="Final Handicap"),AND(A13&gt;25,X13="1st half Handicap")),OR(AND(G13&gt;20,U13&lt;T13,E13&gt;45),AND(G13&lt;-20,U13&gt;T13,E13&lt;55))),AND(AND(A13-Y13&lt;200,A13-Y13&gt;9),OR(AND(A13&gt;75,X13="Final Handicap"),AND(A13&gt;25,X13="1st half Handicap")),OR(AND(AK13&gt;20,U13&lt;T13,E13&gt;45),AND(AK13&lt;-20,U13&gt;T13,E13&lt;55))),AND(AND(A13-AL13&lt;200,A13-AL13&gt;9),OR(AND(A13&gt;75,X13="Final Handicap"),AND(A13&gt;25,X13="1st half Handicap")),OR(AND(AX13&gt;20,U13&lt;T13,E13&gt;45),AND(AX13&lt;-20,U13&gt;T13,E13&lt;55))),AND(AND(A13-AY13&lt;200,A13-AY13&gt;9),OR(AND(A13&gt;75,X13="Final Handicap"),AND(A13&gt;25,X13="1st half Handicap")),OR(AND(BK13&gt;20,U13&lt;T13,E13&gt;45),AND(BK13&lt;-20,U13&gt;T13,E13&lt;55)))),"GOOD","")</f>
        <v/>
      </c>
      <c r="BS13" s="21"/>
      <c r="BT13" s="7" t="s">
        <v>12</v>
      </c>
      <c r="BU13" s="36" t="str">
        <f ca="1">CONCATENATE(INDIRECT(ADDRESS(BU10,8)),"   -   ",INDIRECT(ADDRESS(BU10,9)))</f>
        <v>1.53   -   4.5</v>
      </c>
      <c r="BV13" s="37"/>
      <c r="BW13" s="37"/>
      <c r="BX13" s="38"/>
    </row>
    <row r="14" spans="1:107" ht="14.45" customHeight="1" x14ac:dyDescent="0.3">
      <c r="A14" s="3">
        <v>77</v>
      </c>
      <c r="B14" t="s">
        <v>66</v>
      </c>
      <c r="C14" t="s">
        <v>67</v>
      </c>
      <c r="D14" s="8" t="str">
        <f>IF(ISBLANK(T14),"",CONCATENATE(T14,"-",U14))</f>
        <v>0-1</v>
      </c>
      <c r="E14" s="1">
        <v>52.702702702702602</v>
      </c>
      <c r="F14" s="1">
        <v>45.557655954631301</v>
      </c>
      <c r="G14" s="1">
        <v>7.1450467480713096</v>
      </c>
      <c r="H14" s="1">
        <v>1.75</v>
      </c>
      <c r="I14" s="1">
        <v>1.95</v>
      </c>
      <c r="J14" s="1">
        <v>84</v>
      </c>
      <c r="K14" s="1">
        <v>108</v>
      </c>
      <c r="L14" s="1">
        <v>39</v>
      </c>
      <c r="M14" s="1">
        <v>52</v>
      </c>
      <c r="N14" s="1">
        <v>1</v>
      </c>
      <c r="O14" s="1">
        <v>1</v>
      </c>
      <c r="P14" s="1">
        <v>4</v>
      </c>
      <c r="Q14" s="1">
        <v>2</v>
      </c>
      <c r="R14" s="1">
        <v>42</v>
      </c>
      <c r="S14" s="1">
        <v>58</v>
      </c>
      <c r="T14" s="1">
        <v>0</v>
      </c>
      <c r="U14" s="1">
        <v>1</v>
      </c>
      <c r="V14" s="1">
        <v>0</v>
      </c>
      <c r="W14" s="1">
        <v>0</v>
      </c>
      <c r="X14" s="1" t="s">
        <v>40</v>
      </c>
      <c r="Y14" s="1">
        <v>55</v>
      </c>
      <c r="Z14" s="1">
        <v>38.775510204081598</v>
      </c>
      <c r="AA14" s="1">
        <v>48</v>
      </c>
      <c r="AB14" s="1">
        <v>89</v>
      </c>
      <c r="AC14" s="1">
        <v>24</v>
      </c>
      <c r="AD14" s="1">
        <v>45</v>
      </c>
      <c r="AE14" s="1">
        <v>1</v>
      </c>
      <c r="AF14" s="1">
        <v>1</v>
      </c>
      <c r="AG14" s="1">
        <v>3</v>
      </c>
      <c r="AH14" s="1">
        <v>1</v>
      </c>
      <c r="AI14" s="1">
        <v>36</v>
      </c>
      <c r="AJ14" s="1">
        <v>64</v>
      </c>
      <c r="AK14" s="1">
        <v>-12.260800946932299</v>
      </c>
      <c r="AL14" s="1">
        <v>54</v>
      </c>
      <c r="AM14" s="1">
        <v>41.081081081081003</v>
      </c>
      <c r="AN14" s="1">
        <v>48</v>
      </c>
      <c r="AO14" s="1">
        <v>85</v>
      </c>
      <c r="AP14" s="1">
        <v>24</v>
      </c>
      <c r="AQ14" s="1">
        <v>39</v>
      </c>
      <c r="AR14" s="1">
        <v>1</v>
      </c>
      <c r="AS14" s="1">
        <v>1</v>
      </c>
      <c r="AT14" s="1">
        <v>3</v>
      </c>
      <c r="AU14" s="1">
        <v>1</v>
      </c>
      <c r="AV14" s="1">
        <v>37</v>
      </c>
      <c r="AW14" s="1">
        <v>63</v>
      </c>
      <c r="AX14" s="1">
        <v>-3.2721400645929002</v>
      </c>
      <c r="AY14" s="1">
        <v>45</v>
      </c>
      <c r="AZ14" s="1">
        <v>34.653465346534603</v>
      </c>
      <c r="BA14" s="1">
        <v>33</v>
      </c>
      <c r="BB14" s="1">
        <v>74</v>
      </c>
      <c r="BC14" s="1">
        <v>16</v>
      </c>
      <c r="BD14" s="1">
        <v>36</v>
      </c>
      <c r="BE14" s="1">
        <v>1</v>
      </c>
      <c r="BF14" s="1">
        <v>1</v>
      </c>
      <c r="BG14" s="1">
        <v>2</v>
      </c>
      <c r="BH14" s="1">
        <v>1</v>
      </c>
      <c r="BI14" s="1">
        <v>32</v>
      </c>
      <c r="BJ14" s="1">
        <v>68</v>
      </c>
      <c r="BK14" s="1">
        <v>-7.47428844773978</v>
      </c>
      <c r="BL14">
        <f>IF(NOT(ISBLANK(G14)),ABS(G14),0)</f>
        <v>7.1450467480713096</v>
      </c>
      <c r="BM14">
        <f>IF(NOT(ISBLANK(AK14)),ABS(AK14),0)</f>
        <v>12.260800946932299</v>
      </c>
      <c r="BN14">
        <f>IF(NOT(ISBLANK(AX14)),ABS(AX14),0)</f>
        <v>3.2721400645929002</v>
      </c>
      <c r="BO14">
        <f>IF(NOT(ISBLANK(BK14)),ABS(BK14),0)</f>
        <v>7.47428844773978</v>
      </c>
      <c r="BP14">
        <f>IF(ISBLANK(E14),0,ABS(E14-50))</f>
        <v>2.7027027027026023</v>
      </c>
      <c r="BQ14" s="21" t="str">
        <f>IF(OR(ISBLANK(V14),ISBLANK(W14)),"",IF(SUM(V14,W14)=0,"",CONCATENATE(V14,"-",W14)))</f>
        <v/>
      </c>
      <c r="BR14" s="21" t="str">
        <f>IF(OR(AND(OR(AND(A14&gt;75,X14="Final Handicap"),AND(A14&gt;25,X14="1st half Handicap")),OR(AND(G14&gt;20,U14&lt;T14,E14&gt;45),AND(G14&lt;-20,U14&gt;T14,E14&lt;55))),AND(AND(A14-Y14&lt;200,A14-Y14&gt;9),OR(AND(A14&gt;75,X14="Final Handicap"),AND(A14&gt;25,X14="1st half Handicap")),OR(AND(AK14&gt;20,U14&lt;T14,E14&gt;45),AND(AK14&lt;-20,U14&gt;T14,E14&lt;55))),AND(AND(A14-AL14&lt;200,A14-AL14&gt;9),OR(AND(A14&gt;75,X14="Final Handicap"),AND(A14&gt;25,X14="1st half Handicap")),OR(AND(AX14&gt;20,U14&lt;T14,E14&gt;45),AND(AX14&lt;-20,U14&gt;T14,E14&lt;55))),AND(AND(A14-AY14&lt;200,A14-AY14&gt;9),OR(AND(A14&gt;75,X14="Final Handicap"),AND(A14&gt;25,X14="1st half Handicap")),OR(AND(BK14&gt;20,U14&lt;T14,E14&gt;45),AND(BK14&lt;-20,U14&gt;T14,E14&lt;55)))),"GOOD","")</f>
        <v/>
      </c>
      <c r="BS14" s="21"/>
      <c r="BT14" s="4" t="s">
        <v>0</v>
      </c>
      <c r="BU14" s="6">
        <f ca="1">INDIRECT(ADDRESS(BU10,1))</f>
        <v>52</v>
      </c>
      <c r="BV14" s="6">
        <f ca="1">INDIRECT(ADDRESS(BU10,25))</f>
        <v>45</v>
      </c>
      <c r="BW14" s="6">
        <f ca="1">INDIRECT(ADDRESS(BU10,38))</f>
        <v>43</v>
      </c>
      <c r="BX14" s="6">
        <f ca="1">INDIRECT(ADDRESS(BU10,51))</f>
        <v>33</v>
      </c>
    </row>
    <row r="15" spans="1:107" ht="15" customHeight="1" x14ac:dyDescent="0.3">
      <c r="A15" s="3">
        <v>39</v>
      </c>
      <c r="B15" t="s">
        <v>39</v>
      </c>
      <c r="C15" t="s">
        <v>69</v>
      </c>
      <c r="D15" s="8" t="str">
        <f>IF(ISBLANK(T15),"",CONCATENATE(T15,"-",U15))</f>
        <v>1-1</v>
      </c>
      <c r="E15" s="1">
        <v>47.297297297297298</v>
      </c>
      <c r="F15" s="1">
        <v>54.307116104868904</v>
      </c>
      <c r="G15" s="1">
        <v>-7.0098188075716097</v>
      </c>
      <c r="H15" s="1">
        <v>1.95</v>
      </c>
      <c r="I15" s="1">
        <v>1.75</v>
      </c>
      <c r="J15" s="1">
        <v>37</v>
      </c>
      <c r="K15" s="1">
        <v>51</v>
      </c>
      <c r="L15" s="1">
        <v>28</v>
      </c>
      <c r="M15" s="1">
        <v>13</v>
      </c>
      <c r="N15" s="1">
        <v>1</v>
      </c>
      <c r="O15" s="1">
        <v>2</v>
      </c>
      <c r="P15" s="1">
        <v>2</v>
      </c>
      <c r="Q15" s="1">
        <v>2</v>
      </c>
      <c r="R15" s="1">
        <v>50</v>
      </c>
      <c r="S15" s="1">
        <v>50</v>
      </c>
      <c r="T15" s="1">
        <v>1</v>
      </c>
      <c r="U15" s="1">
        <v>1</v>
      </c>
      <c r="V15" s="1">
        <v>0</v>
      </c>
      <c r="W15" s="1">
        <v>0</v>
      </c>
      <c r="X15" s="1" t="s">
        <v>36</v>
      </c>
      <c r="Y15" s="1">
        <v>17</v>
      </c>
      <c r="Z15" s="1">
        <v>57.2815533980582</v>
      </c>
      <c r="AA15" s="1">
        <v>11</v>
      </c>
      <c r="AB15" s="1">
        <v>17</v>
      </c>
      <c r="AC15" s="1">
        <v>14</v>
      </c>
      <c r="AD15" s="1">
        <v>5</v>
      </c>
      <c r="AE15" s="1">
        <v>0</v>
      </c>
      <c r="AF15" s="1">
        <v>1</v>
      </c>
      <c r="AG15" s="1">
        <v>1</v>
      </c>
      <c r="AH15" s="1">
        <v>1</v>
      </c>
      <c r="AI15" s="1">
        <v>50</v>
      </c>
      <c r="AJ15" s="1">
        <v>50</v>
      </c>
      <c r="AK15" s="1">
        <v>-5.8672596647280102</v>
      </c>
      <c r="AL15" s="1">
        <v>16</v>
      </c>
      <c r="AM15" s="1">
        <v>56.122448979591802</v>
      </c>
      <c r="AN15" s="1">
        <v>10</v>
      </c>
      <c r="AO15" s="1">
        <v>16</v>
      </c>
      <c r="AP15" s="1">
        <v>13</v>
      </c>
      <c r="AQ15" s="1">
        <v>5</v>
      </c>
      <c r="AR15" s="1">
        <v>0</v>
      </c>
      <c r="AS15" s="1">
        <v>1</v>
      </c>
      <c r="AT15" s="1">
        <v>1</v>
      </c>
      <c r="AU15" s="1">
        <v>1</v>
      </c>
      <c r="AV15" s="1">
        <v>50</v>
      </c>
      <c r="AW15" s="1">
        <v>50</v>
      </c>
      <c r="AX15" s="1">
        <v>-6.6904327640523897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/>
      <c r="BL15">
        <f>IF(NOT(ISBLANK(G15)),ABS(G15),0)</f>
        <v>7.0098188075716097</v>
      </c>
      <c r="BM15">
        <f>IF(NOT(ISBLANK(AK15)),ABS(AK15),0)</f>
        <v>5.8672596647280102</v>
      </c>
      <c r="BN15">
        <f>IF(NOT(ISBLANK(AX15)),ABS(AX15),0)</f>
        <v>6.6904327640523897</v>
      </c>
      <c r="BO15">
        <f>IF(NOT(ISBLANK(BK15)),ABS(BK15),0)</f>
        <v>0</v>
      </c>
      <c r="BP15">
        <f>IF(ISBLANK(E15),0,ABS(E15-50))</f>
        <v>2.7027027027027017</v>
      </c>
      <c r="BQ15" s="21" t="str">
        <f>IF(OR(ISBLANK(V15),ISBLANK(W15)),"",IF(SUM(V15,W15)=0,"",CONCATENATE(V15,"-",W15)))</f>
        <v/>
      </c>
      <c r="BR15" s="21" t="str">
        <f>IF(OR(AND(OR(AND(A15&gt;75,X15="Final Handicap"),AND(A15&gt;25,X15="1st half Handicap")),OR(AND(G15&gt;20,U15&lt;T15,E15&gt;45),AND(G15&lt;-20,U15&gt;T15,E15&lt;55))),AND(AND(A15-Y15&lt;200,A15-Y15&gt;9),OR(AND(A15&gt;75,X15="Final Handicap"),AND(A15&gt;25,X15="1st half Handicap")),OR(AND(AK15&gt;20,U15&lt;T15,E15&gt;45),AND(AK15&lt;-20,U15&gt;T15,E15&lt;55))),AND(AND(A15-AL15&lt;200,A15-AL15&gt;9),OR(AND(A15&gt;75,X15="Final Handicap"),AND(A15&gt;25,X15="1st half Handicap")),OR(AND(AX15&gt;20,U15&lt;T15,E15&gt;45),AND(AX15&lt;-20,U15&gt;T15,E15&lt;55))),AND(AND(A15-AY15&lt;200,A15-AY15&gt;9),OR(AND(A15&gt;75,X15="Final Handicap"),AND(A15&gt;25,X15="1st half Handicap")),OR(AND(BK15&gt;20,U15&lt;T15,E15&gt;45),AND(BK15&lt;-20,U15&gt;T15,E15&lt;55)))),"GOOD","")</f>
        <v/>
      </c>
      <c r="BS15" s="21"/>
      <c r="BT15" s="4" t="s">
        <v>7</v>
      </c>
      <c r="BU15" s="4" t="str">
        <f ca="1">CONCATENATE(INDIRECT(ADDRESS(BU10,10)),"  -  ",INDIRECT(ADDRESS(BU10,11)))</f>
        <v>51  -  39</v>
      </c>
      <c r="BV15" s="4" t="str">
        <f ca="1">CONCATENATE(INDIRECT(ADDRESS(BU10,27)),"  -  ",INDIRECT(ADDRESS(BU10,28)))</f>
        <v>37  -  34</v>
      </c>
      <c r="BW15" s="4" t="str">
        <f ca="1">CONCATENATE(INDIRECT(ADDRESS(BU10,40)),"  -  ",INDIRECT(ADDRESS(BU10,41)))</f>
        <v>33  -  32</v>
      </c>
      <c r="BX15" s="4" t="str">
        <f ca="1">CONCATENATE(INDIRECT(ADDRESS(BU10,53)),"  -  ",INDIRECT(ADDRESS(BU10,54)))</f>
        <v>26  -  19</v>
      </c>
    </row>
    <row r="16" spans="1:107" ht="17.25" x14ac:dyDescent="0.3">
      <c r="A16" s="3">
        <v>65</v>
      </c>
      <c r="B16" t="s">
        <v>60</v>
      </c>
      <c r="C16" t="s">
        <v>61</v>
      </c>
      <c r="D16" s="8" t="str">
        <f>IF(ISBLANK(T16),"",CONCATENATE(T16,"-",U16))</f>
        <v>1-0</v>
      </c>
      <c r="E16" s="1">
        <v>52.5773195876288</v>
      </c>
      <c r="F16" s="1">
        <v>47.380410022779003</v>
      </c>
      <c r="G16" s="1">
        <v>5.1969095648498103</v>
      </c>
      <c r="H16" s="1">
        <v>2.2999999999999998</v>
      </c>
      <c r="I16" s="1">
        <v>2.5499999999999998</v>
      </c>
      <c r="J16" s="1">
        <v>76</v>
      </c>
      <c r="K16" s="1">
        <v>78</v>
      </c>
      <c r="L16" s="1">
        <v>28</v>
      </c>
      <c r="M16" s="1">
        <v>27</v>
      </c>
      <c r="N16" s="1">
        <v>2</v>
      </c>
      <c r="O16" s="1">
        <v>0</v>
      </c>
      <c r="P16" s="1">
        <v>4</v>
      </c>
      <c r="Q16" s="1">
        <v>9</v>
      </c>
      <c r="R16" s="1">
        <v>58</v>
      </c>
      <c r="S16" s="1">
        <v>42</v>
      </c>
      <c r="T16" s="1">
        <v>1</v>
      </c>
      <c r="U16" s="1">
        <v>0</v>
      </c>
      <c r="V16" s="1">
        <v>0</v>
      </c>
      <c r="W16" s="1">
        <v>0</v>
      </c>
      <c r="X16" s="1" t="s">
        <v>35</v>
      </c>
      <c r="Y16" s="1">
        <v>45</v>
      </c>
      <c r="Z16" s="1">
        <v>51.418439716312001</v>
      </c>
      <c r="AA16" s="1">
        <v>53</v>
      </c>
      <c r="AB16" s="1">
        <v>55</v>
      </c>
      <c r="AC16" s="1">
        <v>20</v>
      </c>
      <c r="AD16" s="1">
        <v>14</v>
      </c>
      <c r="AE16" s="1">
        <v>1</v>
      </c>
      <c r="AF16" s="1">
        <v>0</v>
      </c>
      <c r="AG16" s="1">
        <v>3</v>
      </c>
      <c r="AH16" s="1">
        <v>5</v>
      </c>
      <c r="AI16" s="1">
        <v>62</v>
      </c>
      <c r="AJ16" s="1">
        <v>38</v>
      </c>
      <c r="AK16" s="1">
        <v>12.449931052597</v>
      </c>
      <c r="AL16" s="1">
        <v>45</v>
      </c>
      <c r="AM16" s="1">
        <v>51.418439716312001</v>
      </c>
      <c r="AN16" s="1">
        <v>53</v>
      </c>
      <c r="AO16" s="1">
        <v>55</v>
      </c>
      <c r="AP16" s="1">
        <v>20</v>
      </c>
      <c r="AQ16" s="1">
        <v>14</v>
      </c>
      <c r="AR16" s="1">
        <v>1</v>
      </c>
      <c r="AS16" s="1">
        <v>0</v>
      </c>
      <c r="AT16" s="1">
        <v>3</v>
      </c>
      <c r="AU16" s="1">
        <v>5</v>
      </c>
      <c r="AV16" s="1">
        <v>62</v>
      </c>
      <c r="AW16" s="1">
        <v>38</v>
      </c>
      <c r="AX16" s="1">
        <v>12.449931052597</v>
      </c>
      <c r="AY16" s="1">
        <v>45</v>
      </c>
      <c r="AZ16" s="1">
        <v>51.418439716312001</v>
      </c>
      <c r="BA16" s="1">
        <v>53</v>
      </c>
      <c r="BB16" s="1">
        <v>55</v>
      </c>
      <c r="BC16" s="1">
        <v>20</v>
      </c>
      <c r="BD16" s="1">
        <v>14</v>
      </c>
      <c r="BE16" s="1">
        <v>1</v>
      </c>
      <c r="BF16" s="1">
        <v>0</v>
      </c>
      <c r="BG16" s="1">
        <v>3</v>
      </c>
      <c r="BH16" s="1">
        <v>5</v>
      </c>
      <c r="BI16" s="1">
        <v>62</v>
      </c>
      <c r="BJ16" s="1">
        <v>38</v>
      </c>
      <c r="BK16" s="1">
        <v>12.449931052597</v>
      </c>
      <c r="BL16">
        <f>IF(NOT(ISBLANK(G16)),ABS(G16),0)</f>
        <v>5.1969095648498103</v>
      </c>
      <c r="BM16">
        <f>IF(NOT(ISBLANK(AK16)),ABS(AK16),0)</f>
        <v>12.449931052597</v>
      </c>
      <c r="BN16">
        <f>IF(NOT(ISBLANK(AX16)),ABS(AX16),0)</f>
        <v>12.449931052597</v>
      </c>
      <c r="BO16">
        <f>IF(NOT(ISBLANK(BK16)),ABS(BK16),0)</f>
        <v>12.449931052597</v>
      </c>
      <c r="BP16">
        <f>IF(ISBLANK(E16),0,ABS(E16-50))</f>
        <v>2.5773195876288</v>
      </c>
      <c r="BQ16" s="21" t="str">
        <f>IF(OR(ISBLANK(V16),ISBLANK(W16)),"",IF(SUM(V16,W16)=0,"",CONCATENATE(V16,"-",W16)))</f>
        <v/>
      </c>
      <c r="BR16" s="21" t="str">
        <f>IF(OR(AND(OR(AND(A16&gt;75,X16="Final Handicap"),AND(A16&gt;25,X16="1st half Handicap")),OR(AND(G16&gt;20,U16&lt;T16,E16&gt;45),AND(G16&lt;-20,U16&gt;T16,E16&lt;55))),AND(AND(A16-Y16&lt;200,A16-Y16&gt;9),OR(AND(A16&gt;75,X16="Final Handicap"),AND(A16&gt;25,X16="1st half Handicap")),OR(AND(AK16&gt;20,U16&lt;T16,E16&gt;45),AND(AK16&lt;-20,U16&gt;T16,E16&lt;55))),AND(AND(A16-AL16&lt;200,A16-AL16&gt;9),OR(AND(A16&gt;75,X16="Final Handicap"),AND(A16&gt;25,X16="1st half Handicap")),OR(AND(AX16&gt;20,U16&lt;T16,E16&gt;45),AND(AX16&lt;-20,U16&gt;T16,E16&lt;55))),AND(AND(A16-AY16&lt;200,A16-AY16&gt;9),OR(AND(A16&gt;75,X16="Final Handicap"),AND(A16&gt;25,X16="1st half Handicap")),OR(AND(BK16&gt;20,U16&lt;T16,E16&gt;45),AND(BK16&lt;-20,U16&gt;T16,E16&lt;55)))),"GOOD","")</f>
        <v/>
      </c>
      <c r="BS16" s="21"/>
      <c r="BT16" s="4" t="s">
        <v>8</v>
      </c>
      <c r="BU16" s="4" t="str">
        <f ca="1">CONCATENATE(INDIRECT(ADDRESS(BU10,12)),"  -  ",INDIRECT(ADDRESS(BU10,13)))</f>
        <v>34  -  23</v>
      </c>
      <c r="BV16" s="4" t="str">
        <f ca="1">CONCATENATE(INDIRECT(ADDRESS(BU10,29)),"  -  ",INDIRECT(ADDRESS(BU10,30)))</f>
        <v>26  -  20</v>
      </c>
      <c r="BW16" s="4" t="str">
        <f ca="1">CONCATENATE(INDIRECT(ADDRESS(BU10,42)),"  -  ",INDIRECT(ADDRESS(BU10,43)))</f>
        <v>23  -  18</v>
      </c>
      <c r="BX16" s="4" t="str">
        <f ca="1">CONCATENATE(INDIRECT(ADDRESS(BU10,55)),"  -  ",INDIRECT(ADDRESS(BU10,56)))</f>
        <v>22  -  10</v>
      </c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</row>
    <row r="17" spans="1:107" ht="17.25" x14ac:dyDescent="0.3">
      <c r="A17" s="3">
        <v>82</v>
      </c>
      <c r="B17" t="s">
        <v>39</v>
      </c>
      <c r="C17" t="s">
        <v>44</v>
      </c>
      <c r="D17" s="8" t="str">
        <f>IF(ISBLANK(T17),"",CONCATENATE(T17,"-",U17))</f>
        <v>0-2</v>
      </c>
      <c r="E17" s="1">
        <v>40.789473684210499</v>
      </c>
      <c r="F17" s="1">
        <v>37.4479889042995</v>
      </c>
      <c r="G17" s="1">
        <v>3.34148477991093</v>
      </c>
      <c r="H17" s="1">
        <v>2.25</v>
      </c>
      <c r="I17" s="1">
        <v>1.55</v>
      </c>
      <c r="J17" s="1">
        <v>95</v>
      </c>
      <c r="K17" s="1">
        <v>117</v>
      </c>
      <c r="L17" s="1">
        <v>45</v>
      </c>
      <c r="M17" s="1">
        <v>82</v>
      </c>
      <c r="N17" s="1">
        <v>2</v>
      </c>
      <c r="O17" s="1">
        <v>4</v>
      </c>
      <c r="P17" s="1">
        <v>3</v>
      </c>
      <c r="Q17" s="1">
        <v>7</v>
      </c>
      <c r="R17" s="1">
        <v>44</v>
      </c>
      <c r="S17" s="1">
        <v>56</v>
      </c>
      <c r="T17" s="1">
        <v>0</v>
      </c>
      <c r="U17" s="1">
        <v>2</v>
      </c>
      <c r="V17" s="1">
        <v>0</v>
      </c>
      <c r="W17" s="1">
        <v>0</v>
      </c>
      <c r="X17" s="1" t="s">
        <v>40</v>
      </c>
      <c r="Y17" s="1">
        <v>60</v>
      </c>
      <c r="Z17" s="1">
        <v>37.636363636363598</v>
      </c>
      <c r="AA17" s="1">
        <v>76</v>
      </c>
      <c r="AB17" s="1">
        <v>91</v>
      </c>
      <c r="AC17" s="1">
        <v>33</v>
      </c>
      <c r="AD17" s="1">
        <v>60</v>
      </c>
      <c r="AE17" s="1">
        <v>1</v>
      </c>
      <c r="AF17" s="1">
        <v>2</v>
      </c>
      <c r="AG17" s="1">
        <v>3</v>
      </c>
      <c r="AH17" s="1">
        <v>7</v>
      </c>
      <c r="AI17" s="1">
        <v>42</v>
      </c>
      <c r="AJ17" s="1">
        <v>58</v>
      </c>
      <c r="AK17" s="1">
        <v>3.9473684210526199</v>
      </c>
      <c r="AL17" s="1">
        <v>59</v>
      </c>
      <c r="AM17" s="1">
        <v>38.148148148148103</v>
      </c>
      <c r="AN17" s="1">
        <v>75</v>
      </c>
      <c r="AO17" s="1">
        <v>88</v>
      </c>
      <c r="AP17" s="1">
        <v>33</v>
      </c>
      <c r="AQ17" s="1">
        <v>58</v>
      </c>
      <c r="AR17" s="1">
        <v>1</v>
      </c>
      <c r="AS17" s="1">
        <v>2</v>
      </c>
      <c r="AT17" s="1">
        <v>3</v>
      </c>
      <c r="AU17" s="1">
        <v>7</v>
      </c>
      <c r="AV17" s="1">
        <v>43</v>
      </c>
      <c r="AW17" s="1">
        <v>57</v>
      </c>
      <c r="AX17" s="1">
        <v>5.4303576621110698</v>
      </c>
      <c r="AY17" s="1">
        <v>57</v>
      </c>
      <c r="AZ17" s="1">
        <v>39.122137404580101</v>
      </c>
      <c r="BA17" s="1">
        <v>74</v>
      </c>
      <c r="BB17" s="1">
        <v>85</v>
      </c>
      <c r="BC17" s="1">
        <v>33</v>
      </c>
      <c r="BD17" s="1">
        <v>54</v>
      </c>
      <c r="BE17" s="1">
        <v>1</v>
      </c>
      <c r="BF17" s="1">
        <v>2</v>
      </c>
      <c r="BG17" s="1">
        <v>3</v>
      </c>
      <c r="BH17" s="1">
        <v>7</v>
      </c>
      <c r="BI17" s="1">
        <v>44</v>
      </c>
      <c r="BJ17" s="1">
        <v>56</v>
      </c>
      <c r="BK17" s="1">
        <v>7.7945498263424904</v>
      </c>
      <c r="BL17">
        <f>IF(NOT(ISBLANK(G17)),ABS(G17),0)</f>
        <v>3.34148477991093</v>
      </c>
      <c r="BM17">
        <f>IF(NOT(ISBLANK(AK17)),ABS(AK17),0)</f>
        <v>3.9473684210526199</v>
      </c>
      <c r="BN17">
        <f>IF(NOT(ISBLANK(AX17)),ABS(AX17),0)</f>
        <v>5.4303576621110698</v>
      </c>
      <c r="BO17">
        <f>IF(NOT(ISBLANK(BK17)),ABS(BK17),0)</f>
        <v>7.7945498263424904</v>
      </c>
      <c r="BP17">
        <f>IF(ISBLANK(E17),0,ABS(E17-50))</f>
        <v>9.210526315789501</v>
      </c>
      <c r="BQ17" s="21" t="str">
        <f>IF(OR(ISBLANK(V17),ISBLANK(W17)),"",IF(SUM(V17,W17)=0,"",CONCATENATE(V17,"-",W17)))</f>
        <v/>
      </c>
      <c r="BR17" s="21" t="str">
        <f>IF(OR(AND(OR(AND(A17&gt;75,X17="Final Handicap"),AND(A17&gt;25,X17="1st half Handicap")),OR(AND(G17&gt;20,U17&lt;T17,E17&gt;45),AND(G17&lt;-20,U17&gt;T17,E17&lt;55))),AND(AND(A17-Y17&lt;200,A17-Y17&gt;9),OR(AND(A17&gt;75,X17="Final Handicap"),AND(A17&gt;25,X17="1st half Handicap")),OR(AND(AK17&gt;20,U17&lt;T17,E17&gt;45),AND(AK17&lt;-20,U17&gt;T17,E17&lt;55))),AND(AND(A17-AL17&lt;200,A17-AL17&gt;9),OR(AND(A17&gt;75,X17="Final Handicap"),AND(A17&gt;25,X17="1st half Handicap")),OR(AND(AX17&gt;20,U17&lt;T17,E17&gt;45),AND(AX17&lt;-20,U17&gt;T17,E17&lt;55))),AND(AND(A17-AY17&lt;200,A17-AY17&gt;9),OR(AND(A17&gt;75,X17="Final Handicap"),AND(A17&gt;25,X17="1st half Handicap")),OR(AND(BK17&gt;20,U17&lt;T17,E17&gt;45),AND(BK17&lt;-20,U17&gt;T17,E17&lt;55)))),"GOOD","")</f>
        <v/>
      </c>
      <c r="BS17" s="21"/>
      <c r="BT17" s="4" t="s">
        <v>9</v>
      </c>
      <c r="BU17" s="4" t="str">
        <f ca="1">CONCATENATE(INDIRECT(ADDRESS(BU10,14)),"  -  ",INDIRECT(ADDRESS(BU10,15)))</f>
        <v>1  -  0</v>
      </c>
      <c r="BV17" s="4" t="str">
        <f ca="1">CONCATENATE(INDIRECT(ADDRESS(BU10,31)),"  -  ",INDIRECT(ADDRESS(BU10,32)))</f>
        <v>1  -  0</v>
      </c>
      <c r="BW17" s="4" t="str">
        <f ca="1">CONCATENATE(INDIRECT(ADDRESS(BU10,44)),"  -  ",INDIRECT(ADDRESS(BU10,45)))</f>
        <v>1  -  0</v>
      </c>
      <c r="BX17" s="4" t="str">
        <f ca="1">CONCATENATE(INDIRECT(ADDRESS(BU10,57)),"  -  ",INDIRECT(ADDRESS(BU10,58)))</f>
        <v>1  -  0</v>
      </c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</row>
    <row r="18" spans="1:107" ht="17.25" x14ac:dyDescent="0.3">
      <c r="A18" s="3">
        <v>84</v>
      </c>
      <c r="B18" t="s">
        <v>43</v>
      </c>
      <c r="C18" t="s">
        <v>71</v>
      </c>
      <c r="D18" s="8" t="str">
        <f>IF(ISBLANK(T18),"",CONCATENATE(T18,"-",U18))</f>
        <v>1-1</v>
      </c>
      <c r="E18" s="1">
        <v>81.395348837209298</v>
      </c>
      <c r="F18" s="1">
        <v>78.313253012048193</v>
      </c>
      <c r="G18" s="1">
        <v>3.0820958251611099</v>
      </c>
      <c r="H18" s="1">
        <v>2.8</v>
      </c>
      <c r="I18" s="1">
        <v>12.25</v>
      </c>
      <c r="J18" s="1">
        <v>74</v>
      </c>
      <c r="K18" s="1">
        <v>41</v>
      </c>
      <c r="L18" s="1">
        <v>52</v>
      </c>
      <c r="M18" s="1">
        <v>17</v>
      </c>
      <c r="N18" s="1">
        <v>10</v>
      </c>
      <c r="O18" s="1">
        <v>1</v>
      </c>
      <c r="P18" s="1">
        <v>10</v>
      </c>
      <c r="Q18" s="1">
        <v>1</v>
      </c>
      <c r="R18" s="1">
        <v>62</v>
      </c>
      <c r="S18" s="1">
        <v>38</v>
      </c>
      <c r="T18" s="1">
        <v>1</v>
      </c>
      <c r="U18" s="1">
        <v>1</v>
      </c>
      <c r="V18" s="1">
        <v>0</v>
      </c>
      <c r="W18" s="1">
        <v>0</v>
      </c>
      <c r="X18" s="1" t="s">
        <v>35</v>
      </c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>
        <f>IF(NOT(ISBLANK(G18)),ABS(G18),0)</f>
        <v>3.0820958251611099</v>
      </c>
      <c r="BM18">
        <f>IF(NOT(ISBLANK(AK18)),ABS(AK18),0)</f>
        <v>0</v>
      </c>
      <c r="BN18">
        <f>IF(NOT(ISBLANK(AX18)),ABS(AX18),0)</f>
        <v>0</v>
      </c>
      <c r="BO18">
        <f>IF(NOT(ISBLANK(BK18)),ABS(BK18),0)</f>
        <v>0</v>
      </c>
      <c r="BP18">
        <f>IF(ISBLANK(E18),0,ABS(E18-50))</f>
        <v>31.395348837209298</v>
      </c>
      <c r="BQ18" s="21" t="str">
        <f>IF(OR(ISBLANK(V18),ISBLANK(W18)),"",IF(SUM(V18,W18)=0,"",CONCATENATE(V18,"-",W18)))</f>
        <v/>
      </c>
      <c r="BR18" s="21" t="str">
        <f>IF(OR(AND(OR(AND(A18&gt;75,X18="Final Handicap"),AND(A18&gt;25,X18="1st half Handicap")),OR(AND(G18&gt;20,U18&lt;T18,E18&gt;45),AND(G18&lt;-20,U18&gt;T18,E18&lt;55))),AND(AND(A18-Y18&lt;200,A18-Y18&gt;9),OR(AND(A18&gt;75,X18="Final Handicap"),AND(A18&gt;25,X18="1st half Handicap")),OR(AND(AK18&gt;20,U18&lt;T18,E18&gt;45),AND(AK18&lt;-20,U18&gt;T18,E18&lt;55))),AND(AND(A18-AL18&lt;200,A18-AL18&gt;9),OR(AND(A18&gt;75,X18="Final Handicap"),AND(A18&gt;25,X18="1st half Handicap")),OR(AND(AX18&gt;20,U18&lt;T18,E18&gt;45),AND(AX18&lt;-20,U18&gt;T18,E18&lt;55))),AND(AND(A18-AY18&lt;200,A18-AY18&gt;9),OR(AND(A18&gt;75,X18="Final Handicap"),AND(A18&gt;25,X18="1st half Handicap")),OR(AND(BK18&gt;20,U18&lt;T18,E18&gt;45),AND(BK18&lt;-20,U18&gt;T18,E18&lt;55)))),"GOOD","")</f>
        <v/>
      </c>
      <c r="BS18" s="21"/>
      <c r="BT18" s="4" t="s">
        <v>10</v>
      </c>
      <c r="BU18" s="4" t="str">
        <f ca="1">CONCATENATE(INDIRECT(ADDRESS(BU10,16)),"  -  ",INDIRECT(ADDRESS(BU10,17)))</f>
        <v>3  -  1</v>
      </c>
      <c r="BV18" s="4" t="str">
        <f ca="1">CONCATENATE(INDIRECT(ADDRESS(BU10,33)),"  -  ",INDIRECT(ADDRESS(BU10,34)))</f>
        <v>2  -  1</v>
      </c>
      <c r="BW18" s="4" t="str">
        <f ca="1">CONCATENATE(INDIRECT(ADDRESS(BU10,46)),"  -  ",INDIRECT(ADDRESS(BU10,47)))</f>
        <v>2  -  1</v>
      </c>
      <c r="BX18" s="4" t="str">
        <f ca="1">CONCATENATE(INDIRECT(ADDRESS(BU10,59)),"  -  ",INDIRECT(ADDRESS(BU10,60)))</f>
        <v>2  -  0</v>
      </c>
      <c r="CB18" s="1"/>
    </row>
    <row r="19" spans="1:107" ht="18" thickBot="1" x14ac:dyDescent="0.35">
      <c r="A19" s="3">
        <v>82</v>
      </c>
      <c r="B19" t="s">
        <v>39</v>
      </c>
      <c r="C19" t="s">
        <v>47</v>
      </c>
      <c r="D19" s="8" t="str">
        <f>IF(ISBLANK(T19),"",CONCATENATE(T19,"-",U19))</f>
        <v>4-3</v>
      </c>
      <c r="E19" s="1">
        <v>57.894736842105203</v>
      </c>
      <c r="F19" s="1">
        <v>55.370370370370303</v>
      </c>
      <c r="G19" s="1">
        <v>2.5243664717348802</v>
      </c>
      <c r="H19" s="1">
        <v>1.6</v>
      </c>
      <c r="I19" s="1">
        <v>2.2000000000000002</v>
      </c>
      <c r="J19" s="1">
        <v>82</v>
      </c>
      <c r="K19" s="1">
        <v>74</v>
      </c>
      <c r="L19" s="1">
        <v>43</v>
      </c>
      <c r="M19" s="1">
        <v>45</v>
      </c>
      <c r="N19" s="1">
        <v>10</v>
      </c>
      <c r="O19" s="1">
        <v>3</v>
      </c>
      <c r="P19" s="1">
        <v>1</v>
      </c>
      <c r="Q19" s="1">
        <v>1</v>
      </c>
      <c r="R19" s="1">
        <v>52</v>
      </c>
      <c r="S19" s="1">
        <v>48</v>
      </c>
      <c r="T19" s="1">
        <v>4</v>
      </c>
      <c r="U19" s="1">
        <v>3</v>
      </c>
      <c r="V19" s="1">
        <v>0</v>
      </c>
      <c r="W19" s="1">
        <v>0</v>
      </c>
      <c r="X19" s="1" t="s">
        <v>40</v>
      </c>
      <c r="Y19" s="1">
        <v>60</v>
      </c>
      <c r="Z19" s="1">
        <v>52.25</v>
      </c>
      <c r="AA19" s="1">
        <v>65</v>
      </c>
      <c r="AB19" s="1">
        <v>59</v>
      </c>
      <c r="AC19" s="1">
        <v>32</v>
      </c>
      <c r="AD19" s="1">
        <v>36</v>
      </c>
      <c r="AE19" s="1">
        <v>6</v>
      </c>
      <c r="AF19" s="1">
        <v>3</v>
      </c>
      <c r="AG19" s="1">
        <v>0</v>
      </c>
      <c r="AH19" s="1">
        <v>0</v>
      </c>
      <c r="AI19" s="1">
        <v>51</v>
      </c>
      <c r="AJ19" s="1">
        <v>49</v>
      </c>
      <c r="AK19" s="1">
        <v>-6.3909774436090299</v>
      </c>
      <c r="AL19" s="1">
        <v>59</v>
      </c>
      <c r="AM19" s="1">
        <v>52.173913043478201</v>
      </c>
      <c r="AN19" s="1">
        <v>63</v>
      </c>
      <c r="AO19" s="1">
        <v>58</v>
      </c>
      <c r="AP19" s="1">
        <v>31</v>
      </c>
      <c r="AQ19" s="1">
        <v>35</v>
      </c>
      <c r="AR19" s="1">
        <v>6</v>
      </c>
      <c r="AS19" s="1">
        <v>3</v>
      </c>
      <c r="AT19" s="1">
        <v>0</v>
      </c>
      <c r="AU19" s="1">
        <v>0</v>
      </c>
      <c r="AV19" s="1">
        <v>51</v>
      </c>
      <c r="AW19" s="1">
        <v>49</v>
      </c>
      <c r="AX19" s="1">
        <v>-5.8636524196397</v>
      </c>
      <c r="AY19" s="1">
        <v>41</v>
      </c>
      <c r="AZ19" s="1">
        <v>50.714285714285701</v>
      </c>
      <c r="BA19" s="1">
        <v>39</v>
      </c>
      <c r="BB19" s="1">
        <v>42</v>
      </c>
      <c r="BC19" s="1">
        <v>21</v>
      </c>
      <c r="BD19" s="1">
        <v>24</v>
      </c>
      <c r="BE19" s="1">
        <v>5</v>
      </c>
      <c r="BF19" s="1">
        <v>3</v>
      </c>
      <c r="BG19" s="1">
        <v>0</v>
      </c>
      <c r="BH19" s="1">
        <v>0</v>
      </c>
      <c r="BI19" s="1">
        <v>50</v>
      </c>
      <c r="BJ19" s="1">
        <v>50</v>
      </c>
      <c r="BK19" s="1">
        <v>-2.48987854251012</v>
      </c>
      <c r="BL19">
        <f>IF(NOT(ISBLANK(G19)),ABS(G19),0)</f>
        <v>2.5243664717348802</v>
      </c>
      <c r="BM19">
        <f>IF(NOT(ISBLANK(AK19)),ABS(AK19),0)</f>
        <v>6.3909774436090299</v>
      </c>
      <c r="BN19">
        <f>IF(NOT(ISBLANK(AX19)),ABS(AX19),0)</f>
        <v>5.8636524196397</v>
      </c>
      <c r="BO19">
        <f>IF(NOT(ISBLANK(BK19)),ABS(BK19),0)</f>
        <v>2.48987854251012</v>
      </c>
      <c r="BP19">
        <f>IF(ISBLANK(E19),0,ABS(E19-50))</f>
        <v>7.8947368421052033</v>
      </c>
      <c r="BQ19" s="21" t="str">
        <f>IF(OR(ISBLANK(V19),ISBLANK(W19)),"",IF(SUM(V19,W19)=0,"",CONCATENATE(V19,"-",W19)))</f>
        <v/>
      </c>
      <c r="BR19" s="21" t="str">
        <f>IF(OR(AND(OR(AND(A19&gt;75,X19="Final Handicap"),AND(A19&gt;25,X19="1st half Handicap")),OR(AND(G19&gt;20,U19&lt;T19,E19&gt;45),AND(G19&lt;-20,U19&gt;T19,E19&lt;55))),AND(AND(A19-Y19&lt;200,A19-Y19&gt;9),OR(AND(A19&gt;75,X19="Final Handicap"),AND(A19&gt;25,X19="1st half Handicap")),OR(AND(AK19&gt;20,U19&lt;T19,E19&gt;45),AND(AK19&lt;-20,U19&gt;T19,E19&lt;55))),AND(AND(A19-AL19&lt;200,A19-AL19&gt;9),OR(AND(A19&gt;75,X19="Final Handicap"),AND(A19&gt;25,X19="1st half Handicap")),OR(AND(AX19&gt;20,U19&lt;T19,E19&gt;45),AND(AX19&lt;-20,U19&gt;T19,E19&lt;55))),AND(AND(A19-AY19&lt;200,A19-AY19&gt;9),OR(AND(A19&gt;75,X19="Final Handicap"),AND(A19&gt;25,X19="1st half Handicap")),OR(AND(BK19&gt;20,U19&lt;T19,E19&gt;45),AND(BK19&lt;-20,U19&gt;T19,E19&lt;55)))),"GOOD","")</f>
        <v/>
      </c>
      <c r="BS19" s="21"/>
      <c r="BT19" s="5" t="s">
        <v>11</v>
      </c>
      <c r="BU19" s="5" t="str">
        <f ca="1">CONCATENATE(INDIRECT(ADDRESS(BU10,18)),"  -  ",INDIRECT(ADDRESS(BU10,19)))</f>
        <v>48  -  52</v>
      </c>
      <c r="BV19" s="5" t="str">
        <f ca="1">CONCATENATE(INDIRECT(ADDRESS(BU10,35)),"  -  ",INDIRECT(ADDRESS(BU10,36)))</f>
        <v>47  -  53</v>
      </c>
      <c r="BW19" s="5" t="str">
        <f ca="1">CONCATENATE(INDIRECT(ADDRESS(BU10,48)),"  -  ",INDIRECT(ADDRESS(BU10,49)))</f>
        <v>47  -  53</v>
      </c>
      <c r="BX19" s="5" t="str">
        <f ca="1">CONCATENATE(INDIRECT(ADDRESS(BU10,61)),"  -  ",INDIRECT(ADDRESS(BU10,62)))</f>
        <v>54  -  46</v>
      </c>
    </row>
    <row r="20" spans="1:107" ht="17.25" x14ac:dyDescent="0.3">
      <c r="A20" s="3">
        <v>40</v>
      </c>
      <c r="B20" t="s">
        <v>37</v>
      </c>
      <c r="C20" t="s">
        <v>62</v>
      </c>
      <c r="D20" s="8" t="str">
        <f>IF(ISBLANK(T20),"",CONCATENATE(T20,"-",U20))</f>
        <v>0-0</v>
      </c>
      <c r="E20" s="1">
        <v>50</v>
      </c>
      <c r="F20" s="1">
        <v>52.459016393442603</v>
      </c>
      <c r="G20" s="1">
        <v>-2.4590163934426199</v>
      </c>
      <c r="H20" s="1">
        <v>2.4</v>
      </c>
      <c r="I20" s="1">
        <v>2.4</v>
      </c>
      <c r="J20" s="1">
        <v>46</v>
      </c>
      <c r="K20" s="1">
        <v>34</v>
      </c>
      <c r="L20" s="1">
        <v>30</v>
      </c>
      <c r="M20" s="1">
        <v>29</v>
      </c>
      <c r="N20" s="1">
        <v>2</v>
      </c>
      <c r="O20" s="1">
        <v>1</v>
      </c>
      <c r="P20" s="1">
        <v>1</v>
      </c>
      <c r="Q20" s="1">
        <v>2</v>
      </c>
      <c r="R20" s="1">
        <v>51</v>
      </c>
      <c r="S20" s="1">
        <v>49</v>
      </c>
      <c r="T20" s="1">
        <v>0</v>
      </c>
      <c r="U20" s="1">
        <v>0</v>
      </c>
      <c r="V20" s="1">
        <v>0</v>
      </c>
      <c r="W20" s="1">
        <v>0</v>
      </c>
      <c r="X20" s="1" t="s">
        <v>35</v>
      </c>
      <c r="Y20" s="1">
        <v>18</v>
      </c>
      <c r="Z20" s="1">
        <v>44.537815126050397</v>
      </c>
      <c r="AA20" s="1">
        <v>20</v>
      </c>
      <c r="AB20" s="1">
        <v>13</v>
      </c>
      <c r="AC20" s="1">
        <v>11</v>
      </c>
      <c r="AD20" s="1">
        <v>15</v>
      </c>
      <c r="AE20" s="1">
        <v>0</v>
      </c>
      <c r="AF20" s="1">
        <v>0</v>
      </c>
      <c r="AG20" s="1">
        <v>0</v>
      </c>
      <c r="AH20" s="1">
        <v>1</v>
      </c>
      <c r="AI20" s="1">
        <v>39</v>
      </c>
      <c r="AJ20" s="1">
        <v>61</v>
      </c>
      <c r="AK20" s="1">
        <v>-7.5268817204301</v>
      </c>
      <c r="AL20" s="1">
        <v>17</v>
      </c>
      <c r="AM20" s="1">
        <v>44.537815126050397</v>
      </c>
      <c r="AN20" s="1">
        <v>20</v>
      </c>
      <c r="AO20" s="1">
        <v>13</v>
      </c>
      <c r="AP20" s="1">
        <v>11</v>
      </c>
      <c r="AQ20" s="1">
        <v>15</v>
      </c>
      <c r="AR20" s="1">
        <v>0</v>
      </c>
      <c r="AS20" s="1">
        <v>0</v>
      </c>
      <c r="AT20" s="1">
        <v>0</v>
      </c>
      <c r="AU20" s="1">
        <v>1</v>
      </c>
      <c r="AV20" s="1">
        <v>39</v>
      </c>
      <c r="AW20" s="1">
        <v>61</v>
      </c>
      <c r="AX20" s="1">
        <v>-7.5268817204301</v>
      </c>
      <c r="AY20" s="1">
        <v>15</v>
      </c>
      <c r="AZ20" s="1">
        <v>38.8888888888888</v>
      </c>
      <c r="BA20" s="1">
        <v>18</v>
      </c>
      <c r="BB20" s="1">
        <v>13</v>
      </c>
      <c r="BC20" s="1">
        <v>8</v>
      </c>
      <c r="BD20" s="1">
        <v>15</v>
      </c>
      <c r="BE20" s="1">
        <v>0</v>
      </c>
      <c r="BF20" s="1">
        <v>0</v>
      </c>
      <c r="BG20" s="1">
        <v>0</v>
      </c>
      <c r="BH20" s="1">
        <v>1</v>
      </c>
      <c r="BI20" s="1">
        <v>38</v>
      </c>
      <c r="BJ20" s="1">
        <v>62</v>
      </c>
      <c r="BK20" s="1">
        <v>-9.8984771573604</v>
      </c>
      <c r="BL20">
        <f>IF(NOT(ISBLANK(G20)),ABS(G20),0)</f>
        <v>2.4590163934426199</v>
      </c>
      <c r="BM20">
        <f>IF(NOT(ISBLANK(AK20)),ABS(AK20),0)</f>
        <v>7.5268817204301</v>
      </c>
      <c r="BN20">
        <f>IF(NOT(ISBLANK(AX20)),ABS(AX20),0)</f>
        <v>7.5268817204301</v>
      </c>
      <c r="BO20">
        <f>IF(NOT(ISBLANK(BK20)),ABS(BK20),0)</f>
        <v>9.8984771573604</v>
      </c>
      <c r="BP20">
        <f>IF(ISBLANK(E20),0,ABS(E20-50))</f>
        <v>0</v>
      </c>
      <c r="BQ20" s="21" t="str">
        <f>IF(OR(ISBLANK(V20),ISBLANK(W20)),"",IF(SUM(V20,W20)=0,"",CONCATENATE(V20,"-",W20)))</f>
        <v/>
      </c>
      <c r="BR20" s="21" t="str">
        <f>IF(OR(AND(OR(AND(A20&gt;75,X20="Final Handicap"),AND(A20&gt;25,X20="1st half Handicap")),OR(AND(G20&gt;20,U20&lt;T20,E20&gt;45),AND(G20&lt;-20,U20&gt;T20,E20&lt;55))),AND(AND(A20-Y20&lt;200,A20-Y20&gt;9),OR(AND(A20&gt;75,X20="Final Handicap"),AND(A20&gt;25,X20="1st half Handicap")),OR(AND(AK20&gt;20,U20&lt;T20,E20&gt;45),AND(AK20&lt;-20,U20&gt;T20,E20&lt;55))),AND(AND(A20-AL20&lt;200,A20-AL20&gt;9),OR(AND(A20&gt;75,X20="Final Handicap"),AND(A20&gt;25,X20="1st half Handicap")),OR(AND(AX20&gt;20,U20&lt;T20,E20&gt;45),AND(AX20&lt;-20,U20&gt;T20,E20&lt;55))),AND(AND(A20-AY20&lt;200,A20-AY20&gt;9),OR(AND(A20&gt;75,X20="Final Handicap"),AND(A20&gt;25,X20="1st half Handicap")),OR(AND(BK20&gt;20,U20&lt;T20,E20&gt;45),AND(BK20&lt;-20,U20&gt;T20,E20&lt;55)))),"GOOD","")</f>
        <v/>
      </c>
      <c r="BS20" s="21"/>
    </row>
    <row r="21" spans="1:107" ht="17.25" x14ac:dyDescent="0.3">
      <c r="A21" s="3">
        <v>53</v>
      </c>
      <c r="B21" t="s">
        <v>65</v>
      </c>
      <c r="C21" t="s">
        <v>70</v>
      </c>
      <c r="D21" s="8" t="str">
        <f>IF(ISBLANK(T21),"",CONCATENATE(T21,"-",U21))</f>
        <v>2-1</v>
      </c>
      <c r="E21" s="1">
        <v>53.846153846153797</v>
      </c>
      <c r="F21" s="1">
        <v>51.775956284152997</v>
      </c>
      <c r="G21" s="1">
        <v>2.0701975620008399</v>
      </c>
      <c r="H21" s="1">
        <v>2.1</v>
      </c>
      <c r="I21" s="1">
        <v>2.4500000000000002</v>
      </c>
      <c r="J21" s="1">
        <v>110</v>
      </c>
      <c r="K21" s="1">
        <v>119</v>
      </c>
      <c r="L21" s="1">
        <v>71</v>
      </c>
      <c r="M21" s="1">
        <v>70</v>
      </c>
      <c r="N21" s="1">
        <v>6</v>
      </c>
      <c r="O21" s="1">
        <v>1</v>
      </c>
      <c r="P21" s="1">
        <v>1</v>
      </c>
      <c r="Q21" s="1">
        <v>2</v>
      </c>
      <c r="R21" s="1">
        <v>46</v>
      </c>
      <c r="S21" s="1">
        <v>54</v>
      </c>
      <c r="T21" s="1">
        <v>2</v>
      </c>
      <c r="U21" s="1">
        <v>1</v>
      </c>
      <c r="V21" s="1">
        <v>0</v>
      </c>
      <c r="W21" s="1">
        <v>0</v>
      </c>
      <c r="X21" s="1" t="s">
        <v>35</v>
      </c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>
        <f>IF(NOT(ISBLANK(G21)),ABS(G21),0)</f>
        <v>2.0701975620008399</v>
      </c>
      <c r="BM21">
        <f>IF(NOT(ISBLANK(AK21)),ABS(AK21),0)</f>
        <v>0</v>
      </c>
      <c r="BN21">
        <f>IF(NOT(ISBLANK(AX21)),ABS(AX21),0)</f>
        <v>0</v>
      </c>
      <c r="BO21">
        <f>IF(NOT(ISBLANK(BK21)),ABS(BK21),0)</f>
        <v>0</v>
      </c>
      <c r="BP21">
        <f>IF(ISBLANK(E21),0,ABS(E21-50))</f>
        <v>3.846153846153797</v>
      </c>
      <c r="BQ21" s="21" t="str">
        <f>IF(OR(ISBLANK(V21),ISBLANK(W21)),"",IF(SUM(V21,W21)=0,"",CONCATENATE(V21,"-",W21)))</f>
        <v/>
      </c>
      <c r="BR21" s="21" t="str">
        <f>IF(OR(AND(OR(AND(A21&gt;75,X21="Final Handicap"),AND(A21&gt;25,X21="1st half Handicap")),OR(AND(G21&gt;20,U21&lt;T21,E21&gt;45),AND(G21&lt;-20,U21&gt;T21,E21&lt;55))),AND(AND(A21-Y21&lt;200,A21-Y21&gt;9),OR(AND(A21&gt;75,X21="Final Handicap"),AND(A21&gt;25,X21="1st half Handicap")),OR(AND(AK21&gt;20,U21&lt;T21,E21&gt;45),AND(AK21&lt;-20,U21&gt;T21,E21&lt;55))),AND(AND(A21-AL21&lt;200,A21-AL21&gt;9),OR(AND(A21&gt;75,X21="Final Handicap"),AND(A21&gt;25,X21="1st half Handicap")),OR(AND(AX21&gt;20,U21&lt;T21,E21&gt;45),AND(AX21&lt;-20,U21&gt;T21,E21&lt;55))),AND(AND(A21-AY21&lt;200,A21-AY21&gt;9),OR(AND(A21&gt;75,X21="Final Handicap"),AND(A21&gt;25,X21="1st half Handicap")),OR(AND(BK21&gt;20,U21&lt;T21,E21&gt;45),AND(BK21&lt;-20,U21&gt;T21,E21&lt;55)))),"GOOD","")</f>
        <v/>
      </c>
      <c r="BS21" s="21"/>
    </row>
    <row r="22" spans="1:107" ht="17.25" x14ac:dyDescent="0.3">
      <c r="A22" s="3">
        <v>24</v>
      </c>
      <c r="B22" t="s">
        <v>75</v>
      </c>
      <c r="C22" t="s">
        <v>76</v>
      </c>
      <c r="D22" s="8" t="str">
        <f>IF(ISBLANK(T22),"",CONCATENATE(T22,"-",U22))</f>
        <v>0-0</v>
      </c>
      <c r="E22" s="1">
        <v>45.348837209302303</v>
      </c>
      <c r="F22" s="1">
        <v>47.008547008546998</v>
      </c>
      <c r="G22" s="1">
        <v>-1.6597097992446901</v>
      </c>
      <c r="H22" s="1">
        <v>2.35</v>
      </c>
      <c r="I22" s="1">
        <v>1.95</v>
      </c>
      <c r="J22" s="1">
        <v>23</v>
      </c>
      <c r="K22" s="1">
        <v>22</v>
      </c>
      <c r="L22" s="1">
        <v>8</v>
      </c>
      <c r="M22" s="1">
        <v>8</v>
      </c>
      <c r="N22" s="1">
        <v>0</v>
      </c>
      <c r="O22" s="1">
        <v>0</v>
      </c>
      <c r="P22" s="1">
        <v>1</v>
      </c>
      <c r="Q22" s="1">
        <v>2</v>
      </c>
      <c r="R22" s="1">
        <v>48</v>
      </c>
      <c r="S22" s="1">
        <v>52</v>
      </c>
      <c r="T22" s="1">
        <v>0</v>
      </c>
      <c r="U22" s="1">
        <v>0</v>
      </c>
      <c r="V22" s="1">
        <v>0</v>
      </c>
      <c r="W22" s="1">
        <v>0</v>
      </c>
      <c r="X22" s="1" t="s">
        <v>35</v>
      </c>
      <c r="Y22" s="1">
        <v>2</v>
      </c>
      <c r="Z22" s="1">
        <v>0</v>
      </c>
      <c r="AA22" s="1">
        <v>2</v>
      </c>
      <c r="AB22" s="1">
        <v>1</v>
      </c>
      <c r="AC22" s="1">
        <v>1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81</v>
      </c>
      <c r="AJ22" s="1">
        <v>19</v>
      </c>
      <c r="AK22" s="1">
        <v>0.30379216425727401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/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/>
      <c r="BL22">
        <f>IF(NOT(ISBLANK(G22)),ABS(G22),0)</f>
        <v>1.6597097992446901</v>
      </c>
      <c r="BM22">
        <f>IF(NOT(ISBLANK(AK22)),ABS(AK22),0)</f>
        <v>0.30379216425727401</v>
      </c>
      <c r="BN22">
        <f>IF(NOT(ISBLANK(AX22)),ABS(AX22),0)</f>
        <v>0</v>
      </c>
      <c r="BO22">
        <f>IF(NOT(ISBLANK(BK22)),ABS(BK22),0)</f>
        <v>0</v>
      </c>
      <c r="BP22">
        <f>IF(ISBLANK(E22),0,ABS(E22-50))</f>
        <v>4.6511627906976969</v>
      </c>
      <c r="BQ22" s="21" t="str">
        <f>IF(OR(ISBLANK(V22),ISBLANK(W22)),"",IF(SUM(V22,W22)=0,"",CONCATENATE(V22,"-",W22)))</f>
        <v/>
      </c>
      <c r="BR22" s="21" t="str">
        <f>IF(OR(AND(OR(AND(A22&gt;75,X22="Final Handicap"),AND(A22&gt;25,X22="1st half Handicap")),OR(AND(G22&gt;20,U22&lt;T22,E22&gt;45),AND(G22&lt;-20,U22&gt;T22,E22&lt;55))),AND(AND(A22-Y22&lt;200,A22-Y22&gt;9),OR(AND(A22&gt;75,X22="Final Handicap"),AND(A22&gt;25,X22="1st half Handicap")),OR(AND(AK22&gt;20,U22&lt;T22,E22&gt;45),AND(AK22&lt;-20,U22&gt;T22,E22&lt;55))),AND(AND(A22-AL22&lt;200,A22-AL22&gt;9),OR(AND(A22&gt;75,X22="Final Handicap"),AND(A22&gt;25,X22="1st half Handicap")),OR(AND(AX22&gt;20,U22&lt;T22,E22&gt;45),AND(AX22&lt;-20,U22&gt;T22,E22&lt;55))),AND(AND(A22-AY22&lt;200,A22-AY22&gt;9),OR(AND(A22&gt;75,X22="Final Handicap"),AND(A22&gt;25,X22="1st half Handicap")),OR(AND(BK22&gt;20,U22&lt;T22,E22&gt;45),AND(BK22&lt;-20,U22&gt;T22,E22&lt;55)))),"GOOD","")</f>
        <v/>
      </c>
      <c r="BS22" s="21"/>
    </row>
    <row r="23" spans="1:107" ht="17.25" x14ac:dyDescent="0.3">
      <c r="A23" s="3">
        <v>35</v>
      </c>
      <c r="B23" t="s">
        <v>63</v>
      </c>
      <c r="C23" t="s">
        <v>64</v>
      </c>
      <c r="D23" s="8" t="str">
        <f>IF(ISBLANK(T23),"",CONCATENATE(T23,"-",U23))</f>
        <v>1-0</v>
      </c>
      <c r="E23" s="1">
        <v>55.347593582887697</v>
      </c>
      <c r="F23" s="1">
        <v>54.263565891472801</v>
      </c>
      <c r="G23" s="1">
        <v>1.0840276914148299</v>
      </c>
      <c r="H23" s="1">
        <v>1.67</v>
      </c>
      <c r="I23" s="1">
        <v>2.0699999999999998</v>
      </c>
      <c r="J23" s="1">
        <v>46</v>
      </c>
      <c r="K23" s="1">
        <v>39</v>
      </c>
      <c r="L23" s="1">
        <v>26</v>
      </c>
      <c r="M23" s="1">
        <v>13</v>
      </c>
      <c r="N23" s="1">
        <v>2</v>
      </c>
      <c r="O23" s="1">
        <v>3</v>
      </c>
      <c r="P23" s="1">
        <v>0</v>
      </c>
      <c r="Q23" s="1">
        <v>2</v>
      </c>
      <c r="R23" s="1">
        <v>50</v>
      </c>
      <c r="S23" s="1">
        <v>50</v>
      </c>
      <c r="T23" s="1">
        <v>1</v>
      </c>
      <c r="U23" s="1">
        <v>0</v>
      </c>
      <c r="V23" s="1">
        <v>0</v>
      </c>
      <c r="W23" s="1">
        <v>0</v>
      </c>
      <c r="X23" s="1" t="s">
        <v>36</v>
      </c>
      <c r="Y23" s="1">
        <v>9</v>
      </c>
      <c r="Z23" s="1">
        <v>70.476190476190396</v>
      </c>
      <c r="AA23" s="1">
        <v>21</v>
      </c>
      <c r="AB23" s="1">
        <v>11</v>
      </c>
      <c r="AC23" s="1">
        <v>15</v>
      </c>
      <c r="AD23" s="1">
        <v>4</v>
      </c>
      <c r="AE23" s="1">
        <v>1</v>
      </c>
      <c r="AF23" s="1">
        <v>1</v>
      </c>
      <c r="AG23" s="1">
        <v>0</v>
      </c>
      <c r="AH23" s="1">
        <v>0</v>
      </c>
      <c r="AI23" s="1">
        <v>60</v>
      </c>
      <c r="AJ23" s="1">
        <v>40</v>
      </c>
      <c r="AK23" s="1">
        <v>12.210338680926901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/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/>
      <c r="BL23">
        <f>IF(NOT(ISBLANK(G23)),ABS(G23),0)</f>
        <v>1.0840276914148299</v>
      </c>
      <c r="BM23">
        <f>IF(NOT(ISBLANK(AK23)),ABS(AK23),0)</f>
        <v>12.210338680926901</v>
      </c>
      <c r="BN23">
        <f>IF(NOT(ISBLANK(AX23)),ABS(AX23),0)</f>
        <v>0</v>
      </c>
      <c r="BO23">
        <f>IF(NOT(ISBLANK(BK23)),ABS(BK23),0)</f>
        <v>0</v>
      </c>
      <c r="BP23">
        <f>IF(ISBLANK(E23),0,ABS(E23-50))</f>
        <v>5.347593582887697</v>
      </c>
      <c r="BQ23" s="21" t="str">
        <f>IF(OR(ISBLANK(V23),ISBLANK(W23)),"",IF(SUM(V23,W23)=0,"",CONCATENATE(V23,"-",W23)))</f>
        <v/>
      </c>
      <c r="BR23" s="21" t="str">
        <f>IF(OR(AND(OR(AND(A23&gt;75,X23="Final Handicap"),AND(A23&gt;25,X23="1st half Handicap")),OR(AND(G23&gt;20,U23&lt;T23,E23&gt;45),AND(G23&lt;-20,U23&gt;T23,E23&lt;55))),AND(AND(A23-Y23&lt;200,A23-Y23&gt;9),OR(AND(A23&gt;75,X23="Final Handicap"),AND(A23&gt;25,X23="1st half Handicap")),OR(AND(AK23&gt;20,U23&lt;T23,E23&gt;45),AND(AK23&lt;-20,U23&gt;T23,E23&lt;55))),AND(AND(A23-AL23&lt;200,A23-AL23&gt;9),OR(AND(A23&gt;75,X23="Final Handicap"),AND(A23&gt;25,X23="1st half Handicap")),OR(AND(AX23&gt;20,U23&lt;T23,E23&gt;45),AND(AX23&lt;-20,U23&gt;T23,E23&lt;55))),AND(AND(A23-AY23&lt;200,A23-AY23&gt;9),OR(AND(A23&gt;75,X23="Final Handicap"),AND(A23&gt;25,X23="1st half Handicap")),OR(AND(BK23&gt;20,U23&lt;T23,E23&gt;45),AND(BK23&lt;-20,U23&gt;T23,E23&lt;55)))),"GOOD","")</f>
        <v/>
      </c>
      <c r="BS23" s="21"/>
    </row>
    <row r="24" spans="1:107" ht="17.25" x14ac:dyDescent="0.3">
      <c r="A24" s="3">
        <v>79</v>
      </c>
      <c r="B24" t="s">
        <v>48</v>
      </c>
      <c r="C24" t="s">
        <v>49</v>
      </c>
      <c r="D24" s="8" t="str">
        <f>IF(ISBLANK(T24),"",CONCATENATE(T24,"-",U24))</f>
        <v>3-1</v>
      </c>
      <c r="E24" s="1">
        <v>66.339066339066306</v>
      </c>
      <c r="F24" s="1">
        <v>67.010309278350505</v>
      </c>
      <c r="G24" s="1">
        <v>-0.671242939284169</v>
      </c>
      <c r="H24" s="1">
        <v>1.37</v>
      </c>
      <c r="I24" s="1">
        <v>2.7</v>
      </c>
      <c r="J24" s="1">
        <v>50</v>
      </c>
      <c r="K24" s="1">
        <v>41</v>
      </c>
      <c r="L24" s="1">
        <v>57</v>
      </c>
      <c r="M24" s="1">
        <v>29</v>
      </c>
      <c r="N24" s="1">
        <v>8</v>
      </c>
      <c r="O24" s="1">
        <v>1</v>
      </c>
      <c r="P24" s="1">
        <v>5</v>
      </c>
      <c r="Q24" s="1">
        <v>3</v>
      </c>
      <c r="R24" s="1">
        <v>56</v>
      </c>
      <c r="S24" s="1">
        <v>44</v>
      </c>
      <c r="T24" s="1">
        <v>3</v>
      </c>
      <c r="U24" s="1">
        <v>1</v>
      </c>
      <c r="V24" s="1">
        <v>0</v>
      </c>
      <c r="W24" s="1">
        <v>0</v>
      </c>
      <c r="X24" s="1" t="s">
        <v>40</v>
      </c>
      <c r="Y24" s="1">
        <v>57</v>
      </c>
      <c r="Z24" s="1">
        <v>64.066852367688</v>
      </c>
      <c r="AA24" s="1">
        <v>37</v>
      </c>
      <c r="AB24" s="1">
        <v>31</v>
      </c>
      <c r="AC24" s="1">
        <v>43</v>
      </c>
      <c r="AD24" s="1">
        <v>22</v>
      </c>
      <c r="AE24" s="1">
        <v>5</v>
      </c>
      <c r="AF24" s="1">
        <v>1</v>
      </c>
      <c r="AG24" s="1">
        <v>3</v>
      </c>
      <c r="AH24" s="1">
        <v>3</v>
      </c>
      <c r="AI24" s="1">
        <v>53</v>
      </c>
      <c r="AJ24" s="1">
        <v>47</v>
      </c>
      <c r="AK24" s="1">
        <v>-6.9367957298991696</v>
      </c>
      <c r="AL24" s="1">
        <v>56</v>
      </c>
      <c r="AM24" s="1">
        <v>64.689265536723099</v>
      </c>
      <c r="AN24" s="1">
        <v>36</v>
      </c>
      <c r="AO24" s="1">
        <v>30</v>
      </c>
      <c r="AP24" s="1">
        <v>43</v>
      </c>
      <c r="AQ24" s="1">
        <v>21</v>
      </c>
      <c r="AR24" s="1">
        <v>5</v>
      </c>
      <c r="AS24" s="1">
        <v>1</v>
      </c>
      <c r="AT24" s="1">
        <v>3</v>
      </c>
      <c r="AU24" s="1">
        <v>3</v>
      </c>
      <c r="AV24" s="1">
        <v>53</v>
      </c>
      <c r="AW24" s="1">
        <v>47</v>
      </c>
      <c r="AX24" s="1">
        <v>-4.7353138262229004</v>
      </c>
      <c r="AY24" s="1">
        <v>39</v>
      </c>
      <c r="AZ24" s="1">
        <v>67.965367965367903</v>
      </c>
      <c r="BA24" s="1">
        <v>21</v>
      </c>
      <c r="BB24" s="1">
        <v>14</v>
      </c>
      <c r="BC24" s="1">
        <v>32</v>
      </c>
      <c r="BD24" s="1">
        <v>12</v>
      </c>
      <c r="BE24" s="1">
        <v>2</v>
      </c>
      <c r="BF24" s="1">
        <v>1</v>
      </c>
      <c r="BG24" s="1">
        <v>3</v>
      </c>
      <c r="BH24" s="1">
        <v>2</v>
      </c>
      <c r="BI24" s="1">
        <v>52</v>
      </c>
      <c r="BJ24" s="1">
        <v>48</v>
      </c>
      <c r="BK24" s="1">
        <v>0.19733405560178499</v>
      </c>
      <c r="BL24">
        <f>IF(NOT(ISBLANK(G24)),ABS(G24),0)</f>
        <v>0.671242939284169</v>
      </c>
      <c r="BM24">
        <f>IF(NOT(ISBLANK(AK24)),ABS(AK24),0)</f>
        <v>6.9367957298991696</v>
      </c>
      <c r="BN24">
        <f>IF(NOT(ISBLANK(AX24)),ABS(AX24),0)</f>
        <v>4.7353138262229004</v>
      </c>
      <c r="BO24">
        <f>IF(NOT(ISBLANK(BK24)),ABS(BK24),0)</f>
        <v>0.19733405560178499</v>
      </c>
      <c r="BP24">
        <f>IF(ISBLANK(E24),0,ABS(E24-50))</f>
        <v>16.339066339066306</v>
      </c>
      <c r="BQ24" s="21" t="str">
        <f>IF(OR(ISBLANK(V24),ISBLANK(W24)),"",IF(SUM(V24,W24)=0,"",CONCATENATE(V24,"-",W24)))</f>
        <v/>
      </c>
      <c r="BR24" s="21" t="str">
        <f>IF(OR(AND(OR(AND(A24&gt;75,X24="Final Handicap"),AND(A24&gt;25,X24="1st half Handicap")),OR(AND(G24&gt;20,U24&lt;T24,E24&gt;45),AND(G24&lt;-20,U24&gt;T24,E24&lt;55))),AND(AND(A24-Y24&lt;200,A24-Y24&gt;9),OR(AND(A24&gt;75,X24="Final Handicap"),AND(A24&gt;25,X24="1st half Handicap")),OR(AND(AK24&gt;20,U24&lt;T24,E24&gt;45),AND(AK24&lt;-20,U24&gt;T24,E24&lt;55))),AND(AND(A24-AL24&lt;200,A24-AL24&gt;9),OR(AND(A24&gt;75,X24="Final Handicap"),AND(A24&gt;25,X24="1st half Handicap")),OR(AND(AX24&gt;20,U24&lt;T24,E24&gt;45),AND(AX24&lt;-20,U24&gt;T24,E24&lt;55))),AND(AND(A24-AY24&lt;200,A24-AY24&gt;9),OR(AND(A24&gt;75,X24="Final Handicap"),AND(A24&gt;25,X24="1st half Handicap")),OR(AND(BK24&gt;20,U24&lt;T24,E24&gt;45),AND(BK24&lt;-20,U24&gt;T24,E24&lt;55)))),"GOOD","")</f>
        <v/>
      </c>
      <c r="BS24" s="21"/>
    </row>
    <row r="25" spans="1:107" ht="14.45" customHeight="1" x14ac:dyDescent="0.3">
      <c r="A25" s="3">
        <v>83</v>
      </c>
      <c r="B25" t="s">
        <v>41</v>
      </c>
      <c r="C25" t="s">
        <v>42</v>
      </c>
      <c r="D25" s="8" t="str">
        <f>IF(ISBLANK(T25),"",CONCATENATE(T25,"-",U25))</f>
        <v>1-1</v>
      </c>
      <c r="E25" s="1">
        <v>58.885108610311399</v>
      </c>
      <c r="F25" s="1">
        <v>58.3333333333333</v>
      </c>
      <c r="G25" s="1">
        <v>0.55177527697809803</v>
      </c>
      <c r="H25" s="1">
        <v>1.571</v>
      </c>
      <c r="I25" s="1">
        <v>2.25</v>
      </c>
      <c r="J25" s="1">
        <v>68</v>
      </c>
      <c r="K25" s="1">
        <v>49</v>
      </c>
      <c r="L25" s="1">
        <v>42</v>
      </c>
      <c r="M25" s="1">
        <v>31</v>
      </c>
      <c r="N25" s="1">
        <v>4</v>
      </c>
      <c r="O25" s="1">
        <v>2</v>
      </c>
      <c r="P25" s="1">
        <v>5</v>
      </c>
      <c r="Q25" s="1">
        <v>4</v>
      </c>
      <c r="R25" s="1">
        <v>55</v>
      </c>
      <c r="S25" s="1">
        <v>45</v>
      </c>
      <c r="T25" s="1">
        <v>1</v>
      </c>
      <c r="U25" s="1">
        <v>1</v>
      </c>
      <c r="V25" s="1">
        <v>0</v>
      </c>
      <c r="W25" s="1">
        <v>0</v>
      </c>
      <c r="X25" s="1" t="s">
        <v>40</v>
      </c>
      <c r="Y25" s="1">
        <v>62</v>
      </c>
      <c r="Z25" s="1">
        <v>55.3745928338762</v>
      </c>
      <c r="AA25" s="1">
        <v>51</v>
      </c>
      <c r="AB25" s="1">
        <v>38</v>
      </c>
      <c r="AC25" s="1">
        <v>29</v>
      </c>
      <c r="AD25" s="1">
        <v>25</v>
      </c>
      <c r="AE25" s="1">
        <v>2</v>
      </c>
      <c r="AF25" s="1">
        <v>1</v>
      </c>
      <c r="AG25" s="1">
        <v>2</v>
      </c>
      <c r="AH25" s="1">
        <v>2</v>
      </c>
      <c r="AI25" s="1">
        <v>54</v>
      </c>
      <c r="AJ25" s="1">
        <v>46</v>
      </c>
      <c r="AK25" s="1">
        <v>-5.7765455250269104</v>
      </c>
      <c r="AL25" s="1">
        <v>48</v>
      </c>
      <c r="AM25" s="1">
        <v>60.165975103734397</v>
      </c>
      <c r="AN25" s="1">
        <v>41</v>
      </c>
      <c r="AO25" s="1">
        <v>32</v>
      </c>
      <c r="AP25" s="1">
        <v>24</v>
      </c>
      <c r="AQ25" s="1">
        <v>16</v>
      </c>
      <c r="AR25" s="1">
        <v>2</v>
      </c>
      <c r="AS25" s="1">
        <v>1</v>
      </c>
      <c r="AT25" s="1">
        <v>2</v>
      </c>
      <c r="AU25" s="1">
        <v>1</v>
      </c>
      <c r="AV25" s="1">
        <v>53</v>
      </c>
      <c r="AW25" s="1">
        <v>47</v>
      </c>
      <c r="AX25" s="1">
        <v>2.60603884286957</v>
      </c>
      <c r="AY25" s="1">
        <v>41</v>
      </c>
      <c r="AZ25" s="1">
        <v>60.7655502392344</v>
      </c>
      <c r="BA25" s="1">
        <v>35</v>
      </c>
      <c r="BB25" s="1">
        <v>24</v>
      </c>
      <c r="BC25" s="1">
        <v>20</v>
      </c>
      <c r="BD25" s="1">
        <v>14</v>
      </c>
      <c r="BE25" s="1">
        <v>2</v>
      </c>
      <c r="BF25" s="1">
        <v>1</v>
      </c>
      <c r="BG25" s="1">
        <v>2</v>
      </c>
      <c r="BH25" s="1">
        <v>1</v>
      </c>
      <c r="BI25" s="1">
        <v>54</v>
      </c>
      <c r="BJ25" s="1">
        <v>46</v>
      </c>
      <c r="BK25" s="1">
        <v>2.6098049665867298</v>
      </c>
      <c r="BL25">
        <f>IF(NOT(ISBLANK(G25)),ABS(G25),0)</f>
        <v>0.55177527697809803</v>
      </c>
      <c r="BM25">
        <f>IF(NOT(ISBLANK(AK25)),ABS(AK25),0)</f>
        <v>5.7765455250269104</v>
      </c>
      <c r="BN25">
        <f>IF(NOT(ISBLANK(AX25)),ABS(AX25),0)</f>
        <v>2.60603884286957</v>
      </c>
      <c r="BO25">
        <f>IF(NOT(ISBLANK(BK25)),ABS(BK25),0)</f>
        <v>2.6098049665867298</v>
      </c>
      <c r="BP25">
        <f>IF(ISBLANK(E25),0,ABS(E25-50))</f>
        <v>8.8851086103113985</v>
      </c>
      <c r="BQ25" s="21" t="str">
        <f>IF(OR(ISBLANK(V25),ISBLANK(W25)),"",IF(SUM(V25,W25)=0,"",CONCATENATE(V25,"-",W25)))</f>
        <v/>
      </c>
      <c r="BR25" s="21" t="str">
        <f>IF(OR(AND(OR(AND(A25&gt;75,X25="Final Handicap"),AND(A25&gt;25,X25="1st half Handicap")),OR(AND(G25&gt;20,U25&lt;T25,E25&gt;45),AND(G25&lt;-20,U25&gt;T25,E25&lt;55))),AND(AND(A25-Y25&lt;200,A25-Y25&gt;9),OR(AND(A25&gt;75,X25="Final Handicap"),AND(A25&gt;25,X25="1st half Handicap")),OR(AND(AK25&gt;20,U25&lt;T25,E25&gt;45),AND(AK25&lt;-20,U25&gt;T25,E25&lt;55))),AND(AND(A25-AL25&lt;200,A25-AL25&gt;9),OR(AND(A25&gt;75,X25="Final Handicap"),AND(A25&gt;25,X25="1st half Handicap")),OR(AND(AX25&gt;20,U25&lt;T25,E25&gt;45),AND(AX25&lt;-20,U25&gt;T25,E25&lt;55))),AND(AND(A25-AY25&lt;200,A25-AY25&gt;9),OR(AND(A25&gt;75,X25="Final Handicap"),AND(A25&gt;25,X25="1st half Handicap")),OR(AND(BK25&gt;20,U25&lt;T25,E25&gt;45),AND(BK25&lt;-20,U25&gt;T25,E25&lt;55)))),"GOOD","")</f>
        <v/>
      </c>
      <c r="BS25" s="21"/>
    </row>
    <row r="26" spans="1:107" ht="15" customHeight="1" x14ac:dyDescent="0.3">
      <c r="A26" s="3">
        <v>79</v>
      </c>
      <c r="B26" t="s">
        <v>45</v>
      </c>
      <c r="C26" t="s">
        <v>46</v>
      </c>
      <c r="D26" s="8" t="str">
        <f>IF(ISBLANK(T26),"",CONCATENATE(T26,"-",U26))</f>
        <v>0-1</v>
      </c>
      <c r="E26" s="1">
        <v>50</v>
      </c>
      <c r="F26" s="1">
        <v>49.476831091180799</v>
      </c>
      <c r="G26" s="1">
        <v>0.52316890881913003</v>
      </c>
      <c r="H26" s="1">
        <v>1.85</v>
      </c>
      <c r="I26" s="1">
        <v>1.85</v>
      </c>
      <c r="J26" s="1">
        <v>109</v>
      </c>
      <c r="K26" s="1">
        <v>120</v>
      </c>
      <c r="L26" s="1">
        <v>58</v>
      </c>
      <c r="M26" s="1">
        <v>62</v>
      </c>
      <c r="N26" s="1">
        <v>3</v>
      </c>
      <c r="O26" s="1">
        <v>2</v>
      </c>
      <c r="P26" s="1">
        <v>3</v>
      </c>
      <c r="Q26" s="1">
        <v>2</v>
      </c>
      <c r="R26" s="1">
        <v>46</v>
      </c>
      <c r="S26" s="1">
        <v>54</v>
      </c>
      <c r="T26" s="1">
        <v>0</v>
      </c>
      <c r="U26" s="1">
        <v>1</v>
      </c>
      <c r="V26" s="1">
        <v>0</v>
      </c>
      <c r="W26" s="1">
        <v>0</v>
      </c>
      <c r="X26" s="1" t="s">
        <v>40</v>
      </c>
      <c r="Y26" s="1">
        <v>57</v>
      </c>
      <c r="Z26" s="1">
        <v>47.701149425287298</v>
      </c>
      <c r="AA26" s="1">
        <v>80</v>
      </c>
      <c r="AB26" s="1">
        <v>91</v>
      </c>
      <c r="AC26" s="1">
        <v>43</v>
      </c>
      <c r="AD26" s="1">
        <v>50</v>
      </c>
      <c r="AE26" s="1">
        <v>2</v>
      </c>
      <c r="AF26" s="1">
        <v>2</v>
      </c>
      <c r="AG26" s="1">
        <v>3</v>
      </c>
      <c r="AH26" s="1">
        <v>2</v>
      </c>
      <c r="AI26" s="1">
        <v>46</v>
      </c>
      <c r="AJ26" s="1">
        <v>54</v>
      </c>
      <c r="AK26" s="1">
        <v>-5.7823129251700598</v>
      </c>
      <c r="AL26" s="1">
        <v>54</v>
      </c>
      <c r="AM26" s="1">
        <v>47.861507128309498</v>
      </c>
      <c r="AN26" s="1">
        <v>75</v>
      </c>
      <c r="AO26" s="1">
        <v>83</v>
      </c>
      <c r="AP26" s="1">
        <v>40</v>
      </c>
      <c r="AQ26" s="1">
        <v>47</v>
      </c>
      <c r="AR26" s="1">
        <v>2</v>
      </c>
      <c r="AS26" s="1">
        <v>2</v>
      </c>
      <c r="AT26" s="1">
        <v>3</v>
      </c>
      <c r="AU26" s="1">
        <v>2</v>
      </c>
      <c r="AV26" s="1">
        <v>46</v>
      </c>
      <c r="AW26" s="1">
        <v>54</v>
      </c>
      <c r="AX26" s="1">
        <v>-3.9325842696629101</v>
      </c>
      <c r="AY26" s="1">
        <v>41</v>
      </c>
      <c r="AZ26" s="1">
        <v>42.388059701492502</v>
      </c>
      <c r="BA26" s="1">
        <v>56</v>
      </c>
      <c r="BB26" s="1">
        <v>58</v>
      </c>
      <c r="BC26" s="1">
        <v>26</v>
      </c>
      <c r="BD26" s="1">
        <v>37</v>
      </c>
      <c r="BE26" s="1">
        <v>0</v>
      </c>
      <c r="BF26" s="1">
        <v>1</v>
      </c>
      <c r="BG26" s="1">
        <v>1</v>
      </c>
      <c r="BH26" s="1">
        <v>2</v>
      </c>
      <c r="BI26" s="1">
        <v>44</v>
      </c>
      <c r="BJ26" s="1">
        <v>56</v>
      </c>
      <c r="BK26" s="1">
        <v>-6.5868263473053901</v>
      </c>
      <c r="BL26">
        <f>IF(NOT(ISBLANK(G26)),ABS(G26),0)</f>
        <v>0.52316890881913003</v>
      </c>
      <c r="BM26">
        <f>IF(NOT(ISBLANK(AK26)),ABS(AK26),0)</f>
        <v>5.7823129251700598</v>
      </c>
      <c r="BN26">
        <f>IF(NOT(ISBLANK(AX26)),ABS(AX26),0)</f>
        <v>3.9325842696629101</v>
      </c>
      <c r="BO26">
        <f>IF(NOT(ISBLANK(BK26)),ABS(BK26),0)</f>
        <v>6.5868263473053901</v>
      </c>
      <c r="BP26">
        <f>IF(ISBLANK(E26),0,ABS(E26-50))</f>
        <v>0</v>
      </c>
      <c r="BQ26" s="21" t="str">
        <f>IF(OR(ISBLANK(V26),ISBLANK(W26)),"",IF(SUM(V26,W26)=0,"",CONCATENATE(V26,"-",W26)))</f>
        <v/>
      </c>
      <c r="BR26" s="21" t="str">
        <f>IF(OR(AND(OR(AND(A26&gt;75,X26="Final Handicap"),AND(A26&gt;25,X26="1st half Handicap")),OR(AND(G26&gt;20,U26&lt;T26,E26&gt;45),AND(G26&lt;-20,U26&gt;T26,E26&lt;55))),AND(AND(A26-Y26&lt;200,A26-Y26&gt;9),OR(AND(A26&gt;75,X26="Final Handicap"),AND(A26&gt;25,X26="1st half Handicap")),OR(AND(AK26&gt;20,U26&lt;T26,E26&gt;45),AND(AK26&lt;-20,U26&gt;T26,E26&lt;55))),AND(AND(A26-AL26&lt;200,A26-AL26&gt;9),OR(AND(A26&gt;75,X26="Final Handicap"),AND(A26&gt;25,X26="1st half Handicap")),OR(AND(AX26&gt;20,U26&lt;T26,E26&gt;45),AND(AX26&lt;-20,U26&gt;T26,E26&lt;55))),AND(AND(A26-AY26&lt;200,A26-AY26&gt;9),OR(AND(A26&gt;75,X26="Final Handicap"),AND(A26&gt;25,X26="1st half Handicap")),OR(AND(BK26&gt;20,U26&lt;T26,E26&gt;45),AND(BK26&lt;-20,U26&gt;T26,E26&lt;55)))),"GOOD","")</f>
        <v/>
      </c>
      <c r="BS26" s="21"/>
    </row>
    <row r="27" spans="1:107" ht="17.25" x14ac:dyDescent="0.3">
      <c r="A27" s="3">
        <v>5</v>
      </c>
      <c r="B27" t="s">
        <v>79</v>
      </c>
      <c r="C27" t="s">
        <v>80</v>
      </c>
      <c r="D27" s="8" t="str">
        <f>IF(ISBLANK(T27),"",CONCATENATE(T27,"-",U27))</f>
        <v>0-0</v>
      </c>
      <c r="E27" s="1">
        <v>16.0935350756533</v>
      </c>
      <c r="F27" s="1">
        <v>0</v>
      </c>
      <c r="G27" s="1"/>
      <c r="H27" s="1">
        <v>6.1</v>
      </c>
      <c r="I27" s="1">
        <v>1.17</v>
      </c>
      <c r="J27" s="1">
        <v>1</v>
      </c>
      <c r="K27" s="1">
        <v>10</v>
      </c>
      <c r="L27" s="1">
        <v>0</v>
      </c>
      <c r="M27" s="1">
        <v>2</v>
      </c>
      <c r="N27" s="1">
        <v>0</v>
      </c>
      <c r="O27" s="1">
        <v>0</v>
      </c>
      <c r="P27" s="1">
        <v>0</v>
      </c>
      <c r="Q27" s="1">
        <v>0</v>
      </c>
      <c r="R27" s="1">
        <v>30</v>
      </c>
      <c r="S27" s="1">
        <v>70</v>
      </c>
      <c r="T27" s="1">
        <v>0</v>
      </c>
      <c r="U27" s="1">
        <v>0</v>
      </c>
      <c r="V27" s="1">
        <v>0</v>
      </c>
      <c r="W27" s="1">
        <v>0</v>
      </c>
      <c r="X27" s="1" t="s">
        <v>35</v>
      </c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>
        <f>IF(NOT(ISBLANK(G27)),ABS(G27),0)</f>
        <v>0</v>
      </c>
      <c r="BM27">
        <f>IF(NOT(ISBLANK(AK27)),ABS(AK27),0)</f>
        <v>0</v>
      </c>
      <c r="BN27">
        <f>IF(NOT(ISBLANK(AX27)),ABS(AX27),0)</f>
        <v>0</v>
      </c>
      <c r="BO27">
        <f>IF(NOT(ISBLANK(BK27)),ABS(BK27),0)</f>
        <v>0</v>
      </c>
      <c r="BP27">
        <f>IF(ISBLANK(E27),0,ABS(E27-50))</f>
        <v>33.9064649243467</v>
      </c>
      <c r="BQ27" s="21" t="str">
        <f>IF(OR(ISBLANK(V27),ISBLANK(W27)),"",IF(SUM(V27,W27)=0,"",CONCATENATE(V27,"-",W27)))</f>
        <v/>
      </c>
      <c r="BR27" s="21" t="str">
        <f>IF(OR(AND(OR(AND(A27&gt;75,X27="Final Handicap"),AND(A27&gt;25,X27="1st half Handicap")),OR(AND(G27&gt;20,U27&lt;T27,E27&gt;45),AND(G27&lt;-20,U27&gt;T27,E27&lt;55))),AND(AND(A27-Y27&lt;200,A27-Y27&gt;9),OR(AND(A27&gt;75,X27="Final Handicap"),AND(A27&gt;25,X27="1st half Handicap")),OR(AND(AK27&gt;20,U27&lt;T27,E27&gt;45),AND(AK27&lt;-20,U27&gt;T27,E27&lt;55))),AND(AND(A27-AL27&lt;200,A27-AL27&gt;9),OR(AND(A27&gt;75,X27="Final Handicap"),AND(A27&gt;25,X27="1st half Handicap")),OR(AND(AX27&gt;20,U27&lt;T27,E27&gt;45),AND(AX27&lt;-20,U27&gt;T27,E27&lt;55))),AND(AND(A27-AY27&lt;200,A27-AY27&gt;9),OR(AND(A27&gt;75,X27="Final Handicap"),AND(A27&gt;25,X27="1st half Handicap")),OR(AND(BK27&gt;20,U27&lt;T27,E27&gt;45),AND(BK27&lt;-20,U27&gt;T27,E27&lt;55)))),"GOOD","")</f>
        <v/>
      </c>
      <c r="BS27" s="21"/>
    </row>
    <row r="28" spans="1:107" ht="17.25" x14ac:dyDescent="0.3">
      <c r="A28" s="3"/>
      <c r="D28" s="8" t="str">
        <f>IF(ISBLANK(T28),"",CONCATENATE(T28,"-",U28))</f>
        <v/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>
        <f>IF(NOT(ISBLANK(G28)),ABS(G28),0)</f>
        <v>0</v>
      </c>
      <c r="BM28">
        <f>IF(NOT(ISBLANK(AK28)),ABS(AK28),0)</f>
        <v>0</v>
      </c>
      <c r="BN28">
        <f>IF(NOT(ISBLANK(AX28)),ABS(AX28),0)</f>
        <v>0</v>
      </c>
      <c r="BO28">
        <f>IF(NOT(ISBLANK(BK28)),ABS(BK28),0)</f>
        <v>0</v>
      </c>
      <c r="BP28">
        <f>IF(ISBLANK(E28),0,ABS(E28-50))</f>
        <v>0</v>
      </c>
      <c r="BQ28" s="21" t="str">
        <f>IF(OR(ISBLANK(V28),ISBLANK(W28)),"",IF(SUM(V28,W28)=0,"",CONCATENATE(V28,"-",W28)))</f>
        <v/>
      </c>
      <c r="BR28" s="21" t="str">
        <f>IF(OR(AND(OR(AND(A28&gt;75,X28="Final Handicap"),AND(A28&gt;25,X28="1st half Handicap")),OR(AND(G28&gt;20,U28&lt;T28,E28&gt;45),AND(G28&lt;-20,U28&gt;T28,E28&lt;55))),AND(AND(A28-Y28&lt;200,A28-Y28&gt;9),OR(AND(A28&gt;75,X28="Final Handicap"),AND(A28&gt;25,X28="1st half Handicap")),OR(AND(AK28&gt;20,U28&lt;T28,E28&gt;45),AND(AK28&lt;-20,U28&gt;T28,E28&lt;55))),AND(AND(A28-AL28&lt;200,A28-AL28&gt;9),OR(AND(A28&gt;75,X28="Final Handicap"),AND(A28&gt;25,X28="1st half Handicap")),OR(AND(AX28&gt;20,U28&lt;T28,E28&gt;45),AND(AX28&lt;-20,U28&gt;T28,E28&lt;55))),AND(AND(A28-AY28&lt;200,A28-AY28&gt;9),OR(AND(A28&gt;75,X28="Final Handicap"),AND(A28&gt;25,X28="1st half Handicap")),OR(AND(BK28&gt;20,U28&lt;T28,E28&gt;45),AND(BK28&lt;-20,U28&gt;T28,E28&lt;55)))),"GOOD","")</f>
        <v/>
      </c>
      <c r="BS28" s="21"/>
    </row>
    <row r="29" spans="1:107" ht="17.25" x14ac:dyDescent="0.3">
      <c r="A29" s="3"/>
      <c r="D29" s="8" t="str">
        <f>IF(ISBLANK(T29),"",CONCATENATE(T29,"-",U29))</f>
        <v/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>
        <f>IF(NOT(ISBLANK(G29)),ABS(G29),0)</f>
        <v>0</v>
      </c>
      <c r="BM29">
        <f>IF(NOT(ISBLANK(AK29)),ABS(AK29),0)</f>
        <v>0</v>
      </c>
      <c r="BN29">
        <f>IF(NOT(ISBLANK(AX29)),ABS(AX29),0)</f>
        <v>0</v>
      </c>
      <c r="BO29">
        <f>IF(NOT(ISBLANK(BK29)),ABS(BK29),0)</f>
        <v>0</v>
      </c>
      <c r="BP29">
        <f>IF(ISBLANK(E29),0,ABS(E29-50))</f>
        <v>0</v>
      </c>
      <c r="BQ29" s="21" t="str">
        <f>IF(OR(ISBLANK(V29),ISBLANK(W29)),"",IF(SUM(V29,W29)=0,"",CONCATENATE(V29,"-",W29)))</f>
        <v/>
      </c>
      <c r="BR29" s="21" t="str">
        <f>IF(OR(AND(OR(AND(A29&gt;75,X29="Final Handicap"),AND(A29&gt;25,X29="1st half Handicap")),OR(AND(G29&gt;20,U29&lt;T29,E29&gt;45),AND(G29&lt;-20,U29&gt;T29,E29&lt;55))),AND(AND(A29-Y29&lt;200,A29-Y29&gt;9),OR(AND(A29&gt;75,X29="Final Handicap"),AND(A29&gt;25,X29="1st half Handicap")),OR(AND(AK29&gt;20,U29&lt;T29,E29&gt;45),AND(AK29&lt;-20,U29&gt;T29,E29&lt;55))),AND(AND(A29-AL29&lt;200,A29-AL29&gt;9),OR(AND(A29&gt;75,X29="Final Handicap"),AND(A29&gt;25,X29="1st half Handicap")),OR(AND(AX29&gt;20,U29&lt;T29,E29&gt;45),AND(AX29&lt;-20,U29&gt;T29,E29&lt;55))),AND(AND(A29-AY29&lt;200,A29-AY29&gt;9),OR(AND(A29&gt;75,X29="Final Handicap"),AND(A29&gt;25,X29="1st half Handicap")),OR(AND(BK29&gt;20,U29&lt;T29,E29&gt;45),AND(BK29&lt;-20,U29&gt;T29,E29&lt;55)))),"GOOD","")</f>
        <v/>
      </c>
      <c r="BS29" s="21"/>
    </row>
    <row r="30" spans="1:107" ht="17.25" x14ac:dyDescent="0.3">
      <c r="A30" s="3"/>
      <c r="D30" s="8" t="str">
        <f>IF(ISBLANK(T30),"",CONCATENATE(T30,"-",U30))</f>
        <v/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>
        <f>IF(NOT(ISBLANK(G30)),ABS(G30),0)</f>
        <v>0</v>
      </c>
      <c r="BM30">
        <f>IF(NOT(ISBLANK(AK30)),ABS(AK30),0)</f>
        <v>0</v>
      </c>
      <c r="BN30">
        <f>IF(NOT(ISBLANK(AX30)),ABS(AX30),0)</f>
        <v>0</v>
      </c>
      <c r="BO30">
        <f>IF(NOT(ISBLANK(BK30)),ABS(BK30),0)</f>
        <v>0</v>
      </c>
      <c r="BP30">
        <f>IF(ISBLANK(E30),0,ABS(E30-50))</f>
        <v>0</v>
      </c>
      <c r="BQ30" s="21" t="str">
        <f>IF(OR(ISBLANK(V30),ISBLANK(W30)),"",IF(SUM(V30,W30)=0,"",CONCATENATE(V30,"-",W30)))</f>
        <v/>
      </c>
      <c r="BR30" s="21" t="str">
        <f>IF(OR(AND(OR(AND(A30&gt;75,X30="Final Handicap"),AND(A30&gt;25,X30="1st half Handicap")),OR(AND(G30&gt;20,U30&lt;T30,E30&gt;45),AND(G30&lt;-20,U30&gt;T30,E30&lt;55))),AND(AND(A30-Y30&lt;200,A30-Y30&gt;9),OR(AND(A30&gt;75,X30="Final Handicap"),AND(A30&gt;25,X30="1st half Handicap")),OR(AND(AK30&gt;20,U30&lt;T30,E30&gt;45),AND(AK30&lt;-20,U30&gt;T30,E30&lt;55))),AND(AND(A30-AL30&lt;200,A30-AL30&gt;9),OR(AND(A30&gt;75,X30="Final Handicap"),AND(A30&gt;25,X30="1st half Handicap")),OR(AND(AX30&gt;20,U30&lt;T30,E30&gt;45),AND(AX30&lt;-20,U30&gt;T30,E30&lt;55))),AND(AND(A30-AY30&lt;200,A30-AY30&gt;9),OR(AND(A30&gt;75,X30="Final Handicap"),AND(A30&gt;25,X30="1st half Handicap")),OR(AND(BK30&gt;20,U30&lt;T30,E30&gt;45),AND(BK30&lt;-20,U30&gt;T30,E30&lt;55)))),"GOOD","")</f>
        <v/>
      </c>
      <c r="BS30" s="21"/>
    </row>
    <row r="31" spans="1:107" ht="17.25" x14ac:dyDescent="0.3">
      <c r="A31" s="3"/>
      <c r="D31" s="8" t="str">
        <f>IF(ISBLANK(T31),"",CONCATENATE(T31,"-",U31))</f>
        <v/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>
        <f>IF(NOT(ISBLANK(G31)),ABS(G31),0)</f>
        <v>0</v>
      </c>
      <c r="BM31">
        <f>IF(NOT(ISBLANK(AK31)),ABS(AK31),0)</f>
        <v>0</v>
      </c>
      <c r="BN31">
        <f>IF(NOT(ISBLANK(AX31)),ABS(AX31),0)</f>
        <v>0</v>
      </c>
      <c r="BO31">
        <f>IF(NOT(ISBLANK(BK31)),ABS(BK31),0)</f>
        <v>0</v>
      </c>
      <c r="BP31">
        <f>IF(ISBLANK(E31),0,ABS(E31-50))</f>
        <v>0</v>
      </c>
      <c r="BQ31" s="21" t="str">
        <f>IF(OR(ISBLANK(V31),ISBLANK(W31)),"",IF(SUM(V31,W31)=0,"",CONCATENATE(V31,"-",W31)))</f>
        <v/>
      </c>
      <c r="BR31" s="21" t="str">
        <f>IF(OR(AND(OR(AND(A31&gt;75,X31="Final Handicap"),AND(A31&gt;25,X31="1st half Handicap")),OR(AND(G31&gt;20,U31&lt;T31,E31&gt;45),AND(G31&lt;-20,U31&gt;T31,E31&lt;55))),AND(AND(A31-Y31&lt;200,A31-Y31&gt;9),OR(AND(A31&gt;75,X31="Final Handicap"),AND(A31&gt;25,X31="1st half Handicap")),OR(AND(AK31&gt;20,U31&lt;T31,E31&gt;45),AND(AK31&lt;-20,U31&gt;T31,E31&lt;55))),AND(AND(A31-AL31&lt;200,A31-AL31&gt;9),OR(AND(A31&gt;75,X31="Final Handicap"),AND(A31&gt;25,X31="1st half Handicap")),OR(AND(AX31&gt;20,U31&lt;T31,E31&gt;45),AND(AX31&lt;-20,U31&gt;T31,E31&lt;55))),AND(AND(A31-AY31&lt;200,A31-AY31&gt;9),OR(AND(A31&gt;75,X31="Final Handicap"),AND(A31&gt;25,X31="1st half Handicap")),OR(AND(BK31&gt;20,U31&lt;T31,E31&gt;45),AND(BK31&lt;-20,U31&gt;T31,E31&lt;55)))),"GOOD","")</f>
        <v/>
      </c>
      <c r="BS31" s="21"/>
    </row>
    <row r="32" spans="1:107" ht="17.25" x14ac:dyDescent="0.3">
      <c r="A32" s="3"/>
      <c r="D32" s="8" t="str">
        <f>IF(ISBLANK(T32),"",CONCATENATE(T32,"-",U32))</f>
        <v/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>
        <f>IF(NOT(ISBLANK(G32)),ABS(G32),0)</f>
        <v>0</v>
      </c>
      <c r="BM32">
        <f>IF(NOT(ISBLANK(AK32)),ABS(AK32),0)</f>
        <v>0</v>
      </c>
      <c r="BN32">
        <f>IF(NOT(ISBLANK(AX32)),ABS(AX32),0)</f>
        <v>0</v>
      </c>
      <c r="BO32">
        <f>IF(NOT(ISBLANK(BK32)),ABS(BK32),0)</f>
        <v>0</v>
      </c>
      <c r="BP32">
        <f>IF(ISBLANK(E32),0,ABS(E32-50))</f>
        <v>0</v>
      </c>
      <c r="BQ32" s="21" t="str">
        <f>IF(OR(ISBLANK(V32),ISBLANK(W32)),"",IF(SUM(V32,W32)=0,"",CONCATENATE(V32,"-",W32)))</f>
        <v/>
      </c>
      <c r="BR32" s="21" t="str">
        <f>IF(OR(AND(OR(AND(A32&gt;75,X32="Final Handicap"),AND(A32&gt;25,X32="1st half Handicap")),OR(AND(G32&gt;20,U32&lt;T32,E32&gt;45),AND(G32&lt;-20,U32&gt;T32,E32&lt;55))),AND(AND(A32-Y32&lt;200,A32-Y32&gt;9),OR(AND(A32&gt;75,X32="Final Handicap"),AND(A32&gt;25,X32="1st half Handicap")),OR(AND(AK32&gt;20,U32&lt;T32,E32&gt;45),AND(AK32&lt;-20,U32&gt;T32,E32&lt;55))),AND(AND(A32-AL32&lt;200,A32-AL32&gt;9),OR(AND(A32&gt;75,X32="Final Handicap"),AND(A32&gt;25,X32="1st half Handicap")),OR(AND(AX32&gt;20,U32&lt;T32,E32&gt;45),AND(AX32&lt;-20,U32&gt;T32,E32&lt;55))),AND(AND(A32-AY32&lt;200,A32-AY32&gt;9),OR(AND(A32&gt;75,X32="Final Handicap"),AND(A32&gt;25,X32="1st half Handicap")),OR(AND(BK32&gt;20,U32&lt;T32,E32&gt;45),AND(BK32&lt;-20,U32&gt;T32,E32&lt;55)))),"GOOD","")</f>
        <v/>
      </c>
      <c r="BS32" s="21"/>
    </row>
    <row r="33" spans="1:71" ht="17.25" x14ac:dyDescent="0.3">
      <c r="A33" s="3"/>
      <c r="D33" s="8" t="str">
        <f>IF(ISBLANK(T33),"",CONCATENATE(T33,"-",U33))</f>
        <v/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>
        <f>IF(NOT(ISBLANK(G33)),ABS(G33),0)</f>
        <v>0</v>
      </c>
      <c r="BM33">
        <f>IF(NOT(ISBLANK(AK33)),ABS(AK33),0)</f>
        <v>0</v>
      </c>
      <c r="BN33">
        <f>IF(NOT(ISBLANK(AX33)),ABS(AX33),0)</f>
        <v>0</v>
      </c>
      <c r="BO33">
        <f>IF(NOT(ISBLANK(BK33)),ABS(BK33),0)</f>
        <v>0</v>
      </c>
      <c r="BP33">
        <f>IF(ISBLANK(E33),0,ABS(E33-50))</f>
        <v>0</v>
      </c>
      <c r="BQ33" s="21" t="str">
        <f>IF(OR(ISBLANK(V33),ISBLANK(W33)),"",IF(SUM(V33,W33)=0,"",CONCATENATE(V33,"-",W33)))</f>
        <v/>
      </c>
      <c r="BR33" s="21" t="str">
        <f>IF(OR(AND(OR(AND(A33&gt;75,X33="Final Handicap"),AND(A33&gt;25,X33="1st half Handicap")),OR(AND(G33&gt;20,U33&lt;T33,E33&gt;45),AND(G33&lt;-20,U33&gt;T33,E33&lt;55))),AND(AND(A33-Y33&lt;200,A33-Y33&gt;9),OR(AND(A33&gt;75,X33="Final Handicap"),AND(A33&gt;25,X33="1st half Handicap")),OR(AND(AK33&gt;20,U33&lt;T33,E33&gt;45),AND(AK33&lt;-20,U33&gt;T33,E33&lt;55))),AND(AND(A33-AL33&lt;200,A33-AL33&gt;9),OR(AND(A33&gt;75,X33="Final Handicap"),AND(A33&gt;25,X33="1st half Handicap")),OR(AND(AX33&gt;20,U33&lt;T33,E33&gt;45),AND(AX33&lt;-20,U33&gt;T33,E33&lt;55))),AND(AND(A33-AY33&lt;200,A33-AY33&gt;9),OR(AND(A33&gt;75,X33="Final Handicap"),AND(A33&gt;25,X33="1st half Handicap")),OR(AND(BK33&gt;20,U33&lt;T33,E33&gt;45),AND(BK33&lt;-20,U33&gt;T33,E33&lt;55)))),"GOOD","")</f>
        <v/>
      </c>
      <c r="BS33" s="21"/>
    </row>
    <row r="34" spans="1:71" ht="17.25" x14ac:dyDescent="0.3">
      <c r="A34" s="3"/>
      <c r="D34" s="8" t="str">
        <f>IF(ISBLANK(T34),"",CONCATENATE(T34,"-",U34))</f>
        <v/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>
        <f>IF(NOT(ISBLANK(G34)),ABS(G34),0)</f>
        <v>0</v>
      </c>
      <c r="BM34">
        <f>IF(NOT(ISBLANK(AK34)),ABS(AK34),0)</f>
        <v>0</v>
      </c>
      <c r="BN34">
        <f>IF(NOT(ISBLANK(AX34)),ABS(AX34),0)</f>
        <v>0</v>
      </c>
      <c r="BO34">
        <f>IF(NOT(ISBLANK(BK34)),ABS(BK34),0)</f>
        <v>0</v>
      </c>
      <c r="BP34">
        <f>IF(ISBLANK(E34),0,ABS(E34-50))</f>
        <v>0</v>
      </c>
      <c r="BQ34" s="21" t="str">
        <f>IF(OR(ISBLANK(V34),ISBLANK(W34)),"",IF(SUM(V34,W34)=0,"",CONCATENATE(V34,"-",W34)))</f>
        <v/>
      </c>
      <c r="BR34" s="21" t="str">
        <f>IF(OR(AND(OR(AND(A34&gt;75,X34="Final Handicap"),AND(A34&gt;25,X34="1st half Handicap")),OR(AND(G34&gt;20,U34&lt;T34,E34&gt;45),AND(G34&lt;-20,U34&gt;T34,E34&lt;55))),AND(AND(A34-Y34&lt;200,A34-Y34&gt;9),OR(AND(A34&gt;75,X34="Final Handicap"),AND(A34&gt;25,X34="1st half Handicap")),OR(AND(AK34&gt;20,U34&lt;T34,E34&gt;45),AND(AK34&lt;-20,U34&gt;T34,E34&lt;55))),AND(AND(A34-AL34&lt;200,A34-AL34&gt;9),OR(AND(A34&gt;75,X34="Final Handicap"),AND(A34&gt;25,X34="1st half Handicap")),OR(AND(AX34&gt;20,U34&lt;T34,E34&gt;45),AND(AX34&lt;-20,U34&gt;T34,E34&lt;55))),AND(AND(A34-AY34&lt;200,A34-AY34&gt;9),OR(AND(A34&gt;75,X34="Final Handicap"),AND(A34&gt;25,X34="1st half Handicap")),OR(AND(BK34&gt;20,U34&lt;T34,E34&gt;45),AND(BK34&lt;-20,U34&gt;T34,E34&lt;55)))),"GOOD","")</f>
        <v/>
      </c>
      <c r="BS34" s="21"/>
    </row>
    <row r="35" spans="1:71" ht="17.25" x14ac:dyDescent="0.3">
      <c r="A35" s="3"/>
      <c r="D35" s="8" t="str">
        <f>IF(ISBLANK(T35),"",CONCATENATE(T35,"-",U35))</f>
        <v/>
      </c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>
        <f>IF(NOT(ISBLANK(G35)),ABS(G35),0)</f>
        <v>0</v>
      </c>
      <c r="BM35">
        <f>IF(NOT(ISBLANK(AK35)),ABS(AK35),0)</f>
        <v>0</v>
      </c>
      <c r="BN35">
        <f>IF(NOT(ISBLANK(AX35)),ABS(AX35),0)</f>
        <v>0</v>
      </c>
      <c r="BO35">
        <f>IF(NOT(ISBLANK(BK35)),ABS(BK35),0)</f>
        <v>0</v>
      </c>
      <c r="BP35">
        <f>IF(ISBLANK(E35),0,ABS(E35-50))</f>
        <v>0</v>
      </c>
      <c r="BQ35" s="21" t="str">
        <f>IF(OR(ISBLANK(V35),ISBLANK(W35)),"",IF(SUM(V35,W35)=0,"",CONCATENATE(V35,"-",W35)))</f>
        <v/>
      </c>
      <c r="BR35" s="21" t="str">
        <f>IF(OR(AND(OR(AND(A35&gt;75,X35="Final Handicap"),AND(A35&gt;25,X35="1st half Handicap")),OR(AND(G35&gt;20,U35&lt;T35,E35&gt;45),AND(G35&lt;-20,U35&gt;T35,E35&lt;55))),AND(AND(A35-Y35&lt;200,A35-Y35&gt;9),OR(AND(A35&gt;75,X35="Final Handicap"),AND(A35&gt;25,X35="1st half Handicap")),OR(AND(AK35&gt;20,U35&lt;T35,E35&gt;45),AND(AK35&lt;-20,U35&gt;T35,E35&lt;55))),AND(AND(A35-AL35&lt;200,A35-AL35&gt;9),OR(AND(A35&gt;75,X35="Final Handicap"),AND(A35&gt;25,X35="1st half Handicap")),OR(AND(AX35&gt;20,U35&lt;T35,E35&gt;45),AND(AX35&lt;-20,U35&gt;T35,E35&lt;55))),AND(AND(A35-AY35&lt;200,A35-AY35&gt;9),OR(AND(A35&gt;75,X35="Final Handicap"),AND(A35&gt;25,X35="1st half Handicap")),OR(AND(BK35&gt;20,U35&lt;T35,E35&gt;45),AND(BK35&lt;-20,U35&gt;T35,E35&lt;55)))),"GOOD","")</f>
        <v/>
      </c>
      <c r="BS35" s="21"/>
    </row>
    <row r="36" spans="1:71" ht="17.25" x14ac:dyDescent="0.3">
      <c r="A36" s="3"/>
      <c r="D36" s="8" t="str">
        <f>IF(ISBLANK(T36),"",CONCATENATE(T36,"-",U36))</f>
        <v/>
      </c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>
        <f>IF(NOT(ISBLANK(G36)),ABS(G36),0)</f>
        <v>0</v>
      </c>
      <c r="BM36">
        <f>IF(NOT(ISBLANK(AK36)),ABS(AK36),0)</f>
        <v>0</v>
      </c>
      <c r="BN36">
        <f>IF(NOT(ISBLANK(AX36)),ABS(AX36),0)</f>
        <v>0</v>
      </c>
      <c r="BO36">
        <f>IF(NOT(ISBLANK(BK36)),ABS(BK36),0)</f>
        <v>0</v>
      </c>
      <c r="BP36">
        <f>IF(ISBLANK(E36),0,ABS(E36-50))</f>
        <v>0</v>
      </c>
      <c r="BQ36" s="21" t="str">
        <f>IF(OR(ISBLANK(V36),ISBLANK(W36)),"",IF(SUM(V36,W36)=0,"",CONCATENATE(V36,"-",W36)))</f>
        <v/>
      </c>
      <c r="BR36" s="21" t="str">
        <f>IF(OR(AND(OR(AND(A36&gt;75,X36="Final Handicap"),AND(A36&gt;25,X36="1st half Handicap")),OR(AND(G36&gt;20,U36&lt;T36,E36&gt;45),AND(G36&lt;-20,U36&gt;T36,E36&lt;55))),AND(AND(A36-Y36&lt;200,A36-Y36&gt;9),OR(AND(A36&gt;75,X36="Final Handicap"),AND(A36&gt;25,X36="1st half Handicap")),OR(AND(AK36&gt;20,U36&lt;T36,E36&gt;45),AND(AK36&lt;-20,U36&gt;T36,E36&lt;55))),AND(AND(A36-AL36&lt;200,A36-AL36&gt;9),OR(AND(A36&gt;75,X36="Final Handicap"),AND(A36&gt;25,X36="1st half Handicap")),OR(AND(AX36&gt;20,U36&lt;T36,E36&gt;45),AND(AX36&lt;-20,U36&gt;T36,E36&lt;55))),AND(AND(A36-AY36&lt;200,A36-AY36&gt;9),OR(AND(A36&gt;75,X36="Final Handicap"),AND(A36&gt;25,X36="1st half Handicap")),OR(AND(BK36&gt;20,U36&lt;T36,E36&gt;45),AND(BK36&lt;-20,U36&gt;T36,E36&lt;55)))),"GOOD","")</f>
        <v/>
      </c>
      <c r="BS36" s="21"/>
    </row>
    <row r="37" spans="1:71" ht="17.25" x14ac:dyDescent="0.3">
      <c r="A37" s="3"/>
      <c r="D37" s="8" t="str">
        <f>IF(ISBLANK(T37),"",CONCATENATE(T37,"-",U37))</f>
        <v/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>
        <f>IF(NOT(ISBLANK(G37)),ABS(G37),0)</f>
        <v>0</v>
      </c>
      <c r="BM37">
        <f>IF(NOT(ISBLANK(AK37)),ABS(AK37),0)</f>
        <v>0</v>
      </c>
      <c r="BN37">
        <f>IF(NOT(ISBLANK(AX37)),ABS(AX37),0)</f>
        <v>0</v>
      </c>
      <c r="BO37">
        <f>IF(NOT(ISBLANK(BK37)),ABS(BK37),0)</f>
        <v>0</v>
      </c>
      <c r="BP37">
        <f>IF(ISBLANK(E37),0,ABS(E37-50))</f>
        <v>0</v>
      </c>
      <c r="BQ37" s="21" t="str">
        <f>IF(OR(ISBLANK(V37),ISBLANK(W37)),"",IF(SUM(V37,W37)=0,"",CONCATENATE(V37,"-",W37)))</f>
        <v/>
      </c>
      <c r="BR37" s="21" t="str">
        <f>IF(OR(AND(OR(AND(A37&gt;75,X37="Final Handicap"),AND(A37&gt;25,X37="1st half Handicap")),OR(AND(G37&gt;20,U37&lt;T37,E37&gt;45),AND(G37&lt;-20,U37&gt;T37,E37&lt;55))),AND(AND(A37-Y37&lt;200,A37-Y37&gt;9),OR(AND(A37&gt;75,X37="Final Handicap"),AND(A37&gt;25,X37="1st half Handicap")),OR(AND(AK37&gt;20,U37&lt;T37,E37&gt;45),AND(AK37&lt;-20,U37&gt;T37,E37&lt;55))),AND(AND(A37-AL37&lt;200,A37-AL37&gt;9),OR(AND(A37&gt;75,X37="Final Handicap"),AND(A37&gt;25,X37="1st half Handicap")),OR(AND(AX37&gt;20,U37&lt;T37,E37&gt;45),AND(AX37&lt;-20,U37&gt;T37,E37&lt;55))),AND(AND(A37-AY37&lt;200,A37-AY37&gt;9),OR(AND(A37&gt;75,X37="Final Handicap"),AND(A37&gt;25,X37="1st half Handicap")),OR(AND(BK37&gt;20,U37&lt;T37,E37&gt;45),AND(BK37&lt;-20,U37&gt;T37,E37&lt;55)))),"GOOD","")</f>
        <v/>
      </c>
      <c r="BS37" s="21"/>
    </row>
    <row r="38" spans="1:71" ht="17.25" x14ac:dyDescent="0.3">
      <c r="A38" s="3"/>
      <c r="D38" s="8" t="str">
        <f>IF(ISBLANK(T38),"",CONCATENATE(T38,"-",U38))</f>
        <v/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>
        <f>IF(NOT(ISBLANK(G38)),ABS(G38),0)</f>
        <v>0</v>
      </c>
      <c r="BM38">
        <f>IF(NOT(ISBLANK(AK38)),ABS(AK38),0)</f>
        <v>0</v>
      </c>
      <c r="BN38">
        <f>IF(NOT(ISBLANK(AX38)),ABS(AX38),0)</f>
        <v>0</v>
      </c>
      <c r="BO38">
        <f>IF(NOT(ISBLANK(BK38)),ABS(BK38),0)</f>
        <v>0</v>
      </c>
      <c r="BP38">
        <f>IF(ISBLANK(E38),0,ABS(E38-50))</f>
        <v>0</v>
      </c>
      <c r="BQ38" s="21" t="str">
        <f>IF(OR(ISBLANK(V38),ISBLANK(W38)),"",IF(SUM(V38,W38)=0,"",CONCATENATE(V38,"-",W38)))</f>
        <v/>
      </c>
      <c r="BR38" s="21" t="str">
        <f>IF(OR(AND(OR(AND(A38&gt;75,X38="Final Handicap"),AND(A38&gt;25,X38="1st half Handicap")),OR(AND(G38&gt;20,U38&lt;T38,E38&gt;45),AND(G38&lt;-20,U38&gt;T38,E38&lt;55))),AND(AND(A38-Y38&lt;200,A38-Y38&gt;9),OR(AND(A38&gt;75,X38="Final Handicap"),AND(A38&gt;25,X38="1st half Handicap")),OR(AND(AK38&gt;20,U38&lt;T38,E38&gt;45),AND(AK38&lt;-20,U38&gt;T38,E38&lt;55))),AND(AND(A38-AL38&lt;200,A38-AL38&gt;9),OR(AND(A38&gt;75,X38="Final Handicap"),AND(A38&gt;25,X38="1st half Handicap")),OR(AND(AX38&gt;20,U38&lt;T38,E38&gt;45),AND(AX38&lt;-20,U38&gt;T38,E38&lt;55))),AND(AND(A38-AY38&lt;200,A38-AY38&gt;9),OR(AND(A38&gt;75,X38="Final Handicap"),AND(A38&gt;25,X38="1st half Handicap")),OR(AND(BK38&gt;20,U38&lt;T38,E38&gt;45),AND(BK38&lt;-20,U38&gt;T38,E38&lt;55)))),"GOOD","")</f>
        <v/>
      </c>
      <c r="BS38" s="21"/>
    </row>
    <row r="39" spans="1:71" ht="17.25" x14ac:dyDescent="0.3">
      <c r="A39" s="3"/>
      <c r="D39" s="8" t="str">
        <f>IF(ISBLANK(T39),"",CONCATENATE(T39,"-",U39))</f>
        <v/>
      </c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>
        <f>IF(NOT(ISBLANK(G39)),ABS(G39),0)</f>
        <v>0</v>
      </c>
      <c r="BM39">
        <f>IF(NOT(ISBLANK(AK39)),ABS(AK39),0)</f>
        <v>0</v>
      </c>
      <c r="BN39">
        <f>IF(NOT(ISBLANK(AX39)),ABS(AX39),0)</f>
        <v>0</v>
      </c>
      <c r="BO39">
        <f>IF(NOT(ISBLANK(BK39)),ABS(BK39),0)</f>
        <v>0</v>
      </c>
      <c r="BP39">
        <f>IF(ISBLANK(E39),0,ABS(E39-50))</f>
        <v>0</v>
      </c>
      <c r="BQ39" s="21" t="str">
        <f>IF(OR(ISBLANK(V39),ISBLANK(W39)),"",IF(SUM(V39,W39)=0,"",CONCATENATE(V39,"-",W39)))</f>
        <v/>
      </c>
      <c r="BR39" s="21" t="str">
        <f>IF(OR(AND(OR(AND(A39&gt;75,X39="Final Handicap"),AND(A39&gt;25,X39="1st half Handicap")),OR(AND(G39&gt;20,U39&lt;T39,E39&gt;45),AND(G39&lt;-20,U39&gt;T39,E39&lt;55))),AND(AND(A39-Y39&lt;200,A39-Y39&gt;9),OR(AND(A39&gt;75,X39="Final Handicap"),AND(A39&gt;25,X39="1st half Handicap")),OR(AND(AK39&gt;20,U39&lt;T39,E39&gt;45),AND(AK39&lt;-20,U39&gt;T39,E39&lt;55))),AND(AND(A39-AL39&lt;200,A39-AL39&gt;9),OR(AND(A39&gt;75,X39="Final Handicap"),AND(A39&gt;25,X39="1st half Handicap")),OR(AND(AX39&gt;20,U39&lt;T39,E39&gt;45),AND(AX39&lt;-20,U39&gt;T39,E39&lt;55))),AND(AND(A39-AY39&lt;200,A39-AY39&gt;9),OR(AND(A39&gt;75,X39="Final Handicap"),AND(A39&gt;25,X39="1st half Handicap")),OR(AND(BK39&gt;20,U39&lt;T39,E39&gt;45),AND(BK39&lt;-20,U39&gt;T39,E39&lt;55)))),"GOOD","")</f>
        <v/>
      </c>
      <c r="BS39" s="21"/>
    </row>
    <row r="40" spans="1:71" ht="17.25" x14ac:dyDescent="0.3">
      <c r="A40" s="3"/>
      <c r="D40" s="8" t="str">
        <f>IF(ISBLANK(T40),"",CONCATENATE(T40,"-",U40))</f>
        <v/>
      </c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>
        <f>IF(NOT(ISBLANK(G40)),ABS(G40),0)</f>
        <v>0</v>
      </c>
      <c r="BM40">
        <f>IF(NOT(ISBLANK(AK40)),ABS(AK40),0)</f>
        <v>0</v>
      </c>
      <c r="BN40">
        <f>IF(NOT(ISBLANK(AX40)),ABS(AX40),0)</f>
        <v>0</v>
      </c>
      <c r="BO40">
        <f>IF(NOT(ISBLANK(BK40)),ABS(BK40),0)</f>
        <v>0</v>
      </c>
      <c r="BP40">
        <f>IF(ISBLANK(E40),0,ABS(E40-50))</f>
        <v>0</v>
      </c>
      <c r="BQ40" s="21" t="str">
        <f>IF(OR(ISBLANK(V40),ISBLANK(W40)),"",IF(SUM(V40,W40)=0,"",CONCATENATE(V40,"-",W40)))</f>
        <v/>
      </c>
      <c r="BR40" s="21" t="str">
        <f>IF(OR(AND(OR(AND(A40&gt;75,X40="Final Handicap"),AND(A40&gt;25,X40="1st half Handicap")),OR(AND(G40&gt;20,U40&lt;T40,E40&gt;45),AND(G40&lt;-20,U40&gt;T40,E40&lt;55))),AND(AND(A40-Y40&lt;200,A40-Y40&gt;9),OR(AND(A40&gt;75,X40="Final Handicap"),AND(A40&gt;25,X40="1st half Handicap")),OR(AND(AK40&gt;20,U40&lt;T40,E40&gt;45),AND(AK40&lt;-20,U40&gt;T40,E40&lt;55))),AND(AND(A40-AL40&lt;200,A40-AL40&gt;9),OR(AND(A40&gt;75,X40="Final Handicap"),AND(A40&gt;25,X40="1st half Handicap")),OR(AND(AX40&gt;20,U40&lt;T40,E40&gt;45),AND(AX40&lt;-20,U40&gt;T40,E40&lt;55))),AND(AND(A40-AY40&lt;200,A40-AY40&gt;9),OR(AND(A40&gt;75,X40="Final Handicap"),AND(A40&gt;25,X40="1st half Handicap")),OR(AND(BK40&gt;20,U40&lt;T40,E40&gt;45),AND(BK40&lt;-20,U40&gt;T40,E40&lt;55)))),"GOOD","")</f>
        <v/>
      </c>
      <c r="BS40" s="21"/>
    </row>
    <row r="41" spans="1:71" ht="17.25" x14ac:dyDescent="0.3">
      <c r="A41" s="3"/>
      <c r="D41" s="8" t="str">
        <f>IF(ISBLANK(T41),"",CONCATENATE(T41,"-",U41))</f>
        <v/>
      </c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>
        <f>IF(NOT(ISBLANK(G41)),ABS(G41),0)</f>
        <v>0</v>
      </c>
      <c r="BM41">
        <f>IF(NOT(ISBLANK(AK41)),ABS(AK41),0)</f>
        <v>0</v>
      </c>
      <c r="BN41">
        <f>IF(NOT(ISBLANK(AX41)),ABS(AX41),0)</f>
        <v>0</v>
      </c>
      <c r="BO41">
        <f>IF(NOT(ISBLANK(BK41)),ABS(BK41),0)</f>
        <v>0</v>
      </c>
      <c r="BP41">
        <f>IF(ISBLANK(E41),0,ABS(E41-50))</f>
        <v>0</v>
      </c>
      <c r="BQ41" s="21" t="str">
        <f>IF(OR(ISBLANK(V41),ISBLANK(W41)),"",IF(SUM(V41,W41)=0,"",CONCATENATE(V41,"-",W41)))</f>
        <v/>
      </c>
      <c r="BR41" s="21" t="str">
        <f>IF(OR(AND(OR(AND(A41&gt;75,X41="Final Handicap"),AND(A41&gt;25,X41="1st half Handicap")),OR(AND(G41&gt;20,U41&lt;T41,E41&gt;45),AND(G41&lt;-20,U41&gt;T41,E41&lt;55))),AND(AND(A41-Y41&lt;200,A41-Y41&gt;9),OR(AND(A41&gt;75,X41="Final Handicap"),AND(A41&gt;25,X41="1st half Handicap")),OR(AND(AK41&gt;20,U41&lt;T41,E41&gt;45),AND(AK41&lt;-20,U41&gt;T41,E41&lt;55))),AND(AND(A41-AL41&lt;200,A41-AL41&gt;9),OR(AND(A41&gt;75,X41="Final Handicap"),AND(A41&gt;25,X41="1st half Handicap")),OR(AND(AX41&gt;20,U41&lt;T41,E41&gt;45),AND(AX41&lt;-20,U41&gt;T41,E41&lt;55))),AND(AND(A41-AY41&lt;200,A41-AY41&gt;9),OR(AND(A41&gt;75,X41="Final Handicap"),AND(A41&gt;25,X41="1st half Handicap")),OR(AND(BK41&gt;20,U41&lt;T41,E41&gt;45),AND(BK41&lt;-20,U41&gt;T41,E41&lt;55)))),"GOOD","")</f>
        <v/>
      </c>
      <c r="BS41" s="21"/>
    </row>
    <row r="42" spans="1:71" ht="17.25" x14ac:dyDescent="0.3">
      <c r="A42" s="3"/>
      <c r="D42" s="8" t="str">
        <f>IF(ISBLANK(T42),"",CONCATENATE(T42,"-",U42))</f>
        <v/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>
        <f>IF(NOT(ISBLANK(G42)),ABS(G42),0)</f>
        <v>0</v>
      </c>
      <c r="BM42">
        <f>IF(NOT(ISBLANK(AK42)),ABS(AK42),0)</f>
        <v>0</v>
      </c>
      <c r="BN42">
        <f>IF(NOT(ISBLANK(AX42)),ABS(AX42),0)</f>
        <v>0</v>
      </c>
      <c r="BO42">
        <f>IF(NOT(ISBLANK(BK42)),ABS(BK42),0)</f>
        <v>0</v>
      </c>
      <c r="BP42">
        <f>IF(ISBLANK(E42),0,ABS(E42-50))</f>
        <v>0</v>
      </c>
      <c r="BQ42" s="21" t="str">
        <f>IF(OR(ISBLANK(V42),ISBLANK(W42)),"",IF(SUM(V42,W42)=0,"",CONCATENATE(V42,"-",W42)))</f>
        <v/>
      </c>
      <c r="BR42" s="21" t="str">
        <f>IF(OR(AND(OR(AND(A42&gt;75,X42="Final Handicap"),AND(A42&gt;25,X42="1st half Handicap")),OR(AND(G42&gt;20,U42&lt;T42,E42&gt;45),AND(G42&lt;-20,U42&gt;T42,E42&lt;55))),AND(AND(A42-Y42&lt;200,A42-Y42&gt;9),OR(AND(A42&gt;75,X42="Final Handicap"),AND(A42&gt;25,X42="1st half Handicap")),OR(AND(AK42&gt;20,U42&lt;T42,E42&gt;45),AND(AK42&lt;-20,U42&gt;T42,E42&lt;55))),AND(AND(A42-AL42&lt;200,A42-AL42&gt;9),OR(AND(A42&gt;75,X42="Final Handicap"),AND(A42&gt;25,X42="1st half Handicap")),OR(AND(AX42&gt;20,U42&lt;T42,E42&gt;45),AND(AX42&lt;-20,U42&gt;T42,E42&lt;55))),AND(AND(A42-AY42&lt;200,A42-AY42&gt;9),OR(AND(A42&gt;75,X42="Final Handicap"),AND(A42&gt;25,X42="1st half Handicap")),OR(AND(BK42&gt;20,U42&lt;T42,E42&gt;45),AND(BK42&lt;-20,U42&gt;T42,E42&lt;55)))),"GOOD","")</f>
        <v/>
      </c>
      <c r="BS42" s="21"/>
    </row>
    <row r="43" spans="1:71" ht="17.25" x14ac:dyDescent="0.3">
      <c r="A43" s="3"/>
      <c r="D43" s="8" t="str">
        <f>IF(ISBLANK(T43),"",CONCATENATE(T43,"-",U43))</f>
        <v/>
      </c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>
        <f>IF(NOT(ISBLANK(G43)),ABS(G43),0)</f>
        <v>0</v>
      </c>
      <c r="BM43">
        <f>IF(NOT(ISBLANK(AK43)),ABS(AK43),0)</f>
        <v>0</v>
      </c>
      <c r="BN43">
        <f>IF(NOT(ISBLANK(AX43)),ABS(AX43),0)</f>
        <v>0</v>
      </c>
      <c r="BO43">
        <f>IF(NOT(ISBLANK(BK43)),ABS(BK43),0)</f>
        <v>0</v>
      </c>
      <c r="BP43">
        <f>IF(ISBLANK(E43),0,ABS(E43-50))</f>
        <v>0</v>
      </c>
      <c r="BQ43" s="21" t="str">
        <f>IF(OR(ISBLANK(V43),ISBLANK(W43)),"",IF(SUM(V43,W43)=0,"",CONCATENATE(V43,"-",W43)))</f>
        <v/>
      </c>
      <c r="BR43" s="21" t="str">
        <f>IF(OR(AND(OR(AND(A43&gt;75,X43="Final Handicap"),AND(A43&gt;25,X43="1st half Handicap")),OR(AND(G43&gt;20,U43&lt;T43,E43&gt;45),AND(G43&lt;-20,U43&gt;T43,E43&lt;55))),AND(AND(A43-Y43&lt;200,A43-Y43&gt;9),OR(AND(A43&gt;75,X43="Final Handicap"),AND(A43&gt;25,X43="1st half Handicap")),OR(AND(AK43&gt;20,U43&lt;T43,E43&gt;45),AND(AK43&lt;-20,U43&gt;T43,E43&lt;55))),AND(AND(A43-AL43&lt;200,A43-AL43&gt;9),OR(AND(A43&gt;75,X43="Final Handicap"),AND(A43&gt;25,X43="1st half Handicap")),OR(AND(AX43&gt;20,U43&lt;T43,E43&gt;45),AND(AX43&lt;-20,U43&gt;T43,E43&lt;55))),AND(AND(A43-AY43&lt;200,A43-AY43&gt;9),OR(AND(A43&gt;75,X43="Final Handicap"),AND(A43&gt;25,X43="1st half Handicap")),OR(AND(BK43&gt;20,U43&lt;T43,E43&gt;45),AND(BK43&lt;-20,U43&gt;T43,E43&lt;55)))),"GOOD","")</f>
        <v/>
      </c>
      <c r="BS43" s="21"/>
    </row>
    <row r="44" spans="1:71" ht="17.25" x14ac:dyDescent="0.3">
      <c r="A44" s="3"/>
      <c r="D44" s="8" t="str">
        <f>IF(ISBLANK(T44),"",CONCATENATE(T44,"-",U44))</f>
        <v/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>
        <f>IF(NOT(ISBLANK(G44)),ABS(G44),0)</f>
        <v>0</v>
      </c>
      <c r="BM44">
        <f>IF(NOT(ISBLANK(AK44)),ABS(AK44),0)</f>
        <v>0</v>
      </c>
      <c r="BN44">
        <f>IF(NOT(ISBLANK(AX44)),ABS(AX44),0)</f>
        <v>0</v>
      </c>
      <c r="BO44">
        <f>IF(NOT(ISBLANK(BK44)),ABS(BK44),0)</f>
        <v>0</v>
      </c>
      <c r="BP44">
        <f>IF(ISBLANK(E44),0,ABS(E44-50))</f>
        <v>0</v>
      </c>
      <c r="BQ44" s="21" t="str">
        <f>IF(OR(ISBLANK(V44),ISBLANK(W44)),"",IF(SUM(V44,W44)=0,"",CONCATENATE(V44,"-",W44)))</f>
        <v/>
      </c>
      <c r="BR44" s="21" t="str">
        <f>IF(OR(AND(OR(AND(A44&gt;75,X44="Final Handicap"),AND(A44&gt;25,X44="1st half Handicap")),OR(AND(G44&gt;20,U44&lt;T44,E44&gt;45),AND(G44&lt;-20,U44&gt;T44,E44&lt;55))),AND(AND(A44-Y44&lt;200,A44-Y44&gt;9),OR(AND(A44&gt;75,X44="Final Handicap"),AND(A44&gt;25,X44="1st half Handicap")),OR(AND(AK44&gt;20,U44&lt;T44,E44&gt;45),AND(AK44&lt;-20,U44&gt;T44,E44&lt;55))),AND(AND(A44-AL44&lt;200,A44-AL44&gt;9),OR(AND(A44&gt;75,X44="Final Handicap"),AND(A44&gt;25,X44="1st half Handicap")),OR(AND(AX44&gt;20,U44&lt;T44,E44&gt;45),AND(AX44&lt;-20,U44&gt;T44,E44&lt;55))),AND(AND(A44-AY44&lt;200,A44-AY44&gt;9),OR(AND(A44&gt;75,X44="Final Handicap"),AND(A44&gt;25,X44="1st half Handicap")),OR(AND(BK44&gt;20,U44&lt;T44,E44&gt;45),AND(BK44&lt;-20,U44&gt;T44,E44&lt;55)))),"GOOD","")</f>
        <v/>
      </c>
      <c r="BS44" s="21"/>
    </row>
    <row r="45" spans="1:71" ht="17.25" x14ac:dyDescent="0.3">
      <c r="A45" s="3"/>
      <c r="D45" s="8" t="str">
        <f>IF(ISBLANK(T45),"",CONCATENATE(T45,"-",U45))</f>
        <v/>
      </c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>
        <f>IF(NOT(ISBLANK(G45)),ABS(G45),0)</f>
        <v>0</v>
      </c>
      <c r="BM45">
        <f>IF(NOT(ISBLANK(AK45)),ABS(AK45),0)</f>
        <v>0</v>
      </c>
      <c r="BN45">
        <f>IF(NOT(ISBLANK(AX45)),ABS(AX45),0)</f>
        <v>0</v>
      </c>
      <c r="BO45">
        <f>IF(NOT(ISBLANK(BK45)),ABS(BK45),0)</f>
        <v>0</v>
      </c>
      <c r="BP45">
        <f>IF(ISBLANK(E45),0,ABS(E45-50))</f>
        <v>0</v>
      </c>
      <c r="BQ45" s="21" t="str">
        <f>IF(OR(ISBLANK(V45),ISBLANK(W45)),"",IF(SUM(V45,W45)=0,"",CONCATENATE(V45,"-",W45)))</f>
        <v/>
      </c>
      <c r="BR45" s="21" t="str">
        <f>IF(OR(AND(OR(AND(A45&gt;75,X45="Final Handicap"),AND(A45&gt;25,X45="1st half Handicap")),OR(AND(G45&gt;20,U45&lt;T45,E45&gt;45),AND(G45&lt;-20,U45&gt;T45,E45&lt;55))),AND(AND(A45-Y45&lt;200,A45-Y45&gt;9),OR(AND(A45&gt;75,X45="Final Handicap"),AND(A45&gt;25,X45="1st half Handicap")),OR(AND(AK45&gt;20,U45&lt;T45,E45&gt;45),AND(AK45&lt;-20,U45&gt;T45,E45&lt;55))),AND(AND(A45-AL45&lt;200,A45-AL45&gt;9),OR(AND(A45&gt;75,X45="Final Handicap"),AND(A45&gt;25,X45="1st half Handicap")),OR(AND(AX45&gt;20,U45&lt;T45,E45&gt;45),AND(AX45&lt;-20,U45&gt;T45,E45&lt;55))),AND(AND(A45-AY45&lt;200,A45-AY45&gt;9),OR(AND(A45&gt;75,X45="Final Handicap"),AND(A45&gt;25,X45="1st half Handicap")),OR(AND(BK45&gt;20,U45&lt;T45,E45&gt;45),AND(BK45&lt;-20,U45&gt;T45,E45&lt;55)))),"GOOD","")</f>
        <v/>
      </c>
      <c r="BS45" s="21"/>
    </row>
    <row r="46" spans="1:71" ht="17.25" x14ac:dyDescent="0.3">
      <c r="A46" s="3"/>
      <c r="D46" s="8" t="str">
        <f>IF(ISBLANK(T46),"",CONCATENATE(T46,"-",U46))</f>
        <v/>
      </c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>
        <f>IF(NOT(ISBLANK(G46)),ABS(G46),0)</f>
        <v>0</v>
      </c>
      <c r="BM46">
        <f>IF(NOT(ISBLANK(AK46)),ABS(AK46),0)</f>
        <v>0</v>
      </c>
      <c r="BN46">
        <f>IF(NOT(ISBLANK(AX46)),ABS(AX46),0)</f>
        <v>0</v>
      </c>
      <c r="BO46">
        <f>IF(NOT(ISBLANK(BK46)),ABS(BK46),0)</f>
        <v>0</v>
      </c>
      <c r="BP46">
        <f>IF(ISBLANK(E46),0,ABS(E46-50))</f>
        <v>0</v>
      </c>
      <c r="BQ46" s="21" t="str">
        <f>IF(OR(ISBLANK(V46),ISBLANK(W46)),"",IF(SUM(V46,W46)=0,"",CONCATENATE(V46,"-",W46)))</f>
        <v/>
      </c>
      <c r="BR46" s="21" t="str">
        <f>IF(OR(AND(OR(AND(A46&gt;75,X46="Final Handicap"),AND(A46&gt;25,X46="1st half Handicap")),OR(AND(G46&gt;20,U46&lt;T46,E46&gt;45),AND(G46&lt;-20,U46&gt;T46,E46&lt;55))),AND(AND(A46-Y46&lt;200,A46-Y46&gt;9),OR(AND(A46&gt;75,X46="Final Handicap"),AND(A46&gt;25,X46="1st half Handicap")),OR(AND(AK46&gt;20,U46&lt;T46,E46&gt;45),AND(AK46&lt;-20,U46&gt;T46,E46&lt;55))),AND(AND(A46-AL46&lt;200,A46-AL46&gt;9),OR(AND(A46&gt;75,X46="Final Handicap"),AND(A46&gt;25,X46="1st half Handicap")),OR(AND(AX46&gt;20,U46&lt;T46,E46&gt;45),AND(AX46&lt;-20,U46&gt;T46,E46&lt;55))),AND(AND(A46-AY46&lt;200,A46-AY46&gt;9),OR(AND(A46&gt;75,X46="Final Handicap"),AND(A46&gt;25,X46="1st half Handicap")),OR(AND(BK46&gt;20,U46&lt;T46,E46&gt;45),AND(BK46&lt;-20,U46&gt;T46,E46&lt;55)))),"GOOD","")</f>
        <v/>
      </c>
      <c r="BS46" s="21"/>
    </row>
    <row r="47" spans="1:71" ht="17.25" x14ac:dyDescent="0.3">
      <c r="A47" s="3"/>
      <c r="D47" s="8" t="str">
        <f>IF(ISBLANK(T47),"",CONCATENATE(T47,"-",U47))</f>
        <v/>
      </c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>
        <f>IF(NOT(ISBLANK(G47)),ABS(G47),0)</f>
        <v>0</v>
      </c>
      <c r="BM47">
        <f>IF(NOT(ISBLANK(AK47)),ABS(AK47),0)</f>
        <v>0</v>
      </c>
      <c r="BN47">
        <f>IF(NOT(ISBLANK(AX47)),ABS(AX47),0)</f>
        <v>0</v>
      </c>
      <c r="BO47">
        <f>IF(NOT(ISBLANK(BK47)),ABS(BK47),0)</f>
        <v>0</v>
      </c>
      <c r="BP47">
        <f>IF(ISBLANK(E47),0,ABS(E47-50))</f>
        <v>0</v>
      </c>
      <c r="BQ47" s="21" t="str">
        <f>IF(OR(ISBLANK(V47),ISBLANK(W47)),"",IF(SUM(V47,W47)=0,"",CONCATENATE(V47,"-",W47)))</f>
        <v/>
      </c>
      <c r="BR47" s="21" t="str">
        <f>IF(OR(AND(OR(AND(A47&gt;75,X47="Final Handicap"),AND(A47&gt;25,X47="1st half Handicap")),OR(AND(G47&gt;20,U47&lt;T47,E47&gt;45),AND(G47&lt;-20,U47&gt;T47,E47&lt;55))),AND(AND(A47-Y47&lt;200,A47-Y47&gt;9),OR(AND(A47&gt;75,X47="Final Handicap"),AND(A47&gt;25,X47="1st half Handicap")),OR(AND(AK47&gt;20,U47&lt;T47,E47&gt;45),AND(AK47&lt;-20,U47&gt;T47,E47&lt;55))),AND(AND(A47-AL47&lt;200,A47-AL47&gt;9),OR(AND(A47&gt;75,X47="Final Handicap"),AND(A47&gt;25,X47="1st half Handicap")),OR(AND(AX47&gt;20,U47&lt;T47,E47&gt;45),AND(AX47&lt;-20,U47&gt;T47,E47&lt;55))),AND(AND(A47-AY47&lt;200,A47-AY47&gt;9),OR(AND(A47&gt;75,X47="Final Handicap"),AND(A47&gt;25,X47="1st half Handicap")),OR(AND(BK47&gt;20,U47&lt;T47,E47&gt;45),AND(BK47&lt;-20,U47&gt;T47,E47&lt;55)))),"GOOD","")</f>
        <v/>
      </c>
      <c r="BS47" s="21"/>
    </row>
    <row r="48" spans="1:71" ht="17.25" x14ac:dyDescent="0.3">
      <c r="A48" s="3"/>
      <c r="D48" s="8" t="str">
        <f>IF(ISBLANK(T48),"",CONCATENATE(T48,"-",U48))</f>
        <v/>
      </c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>
        <f>IF(NOT(ISBLANK(G48)),ABS(G48),0)</f>
        <v>0</v>
      </c>
      <c r="BM48">
        <f>IF(NOT(ISBLANK(AK48)),ABS(AK48),0)</f>
        <v>0</v>
      </c>
      <c r="BN48">
        <f>IF(NOT(ISBLANK(AX48)),ABS(AX48),0)</f>
        <v>0</v>
      </c>
      <c r="BO48">
        <f>IF(NOT(ISBLANK(BK48)),ABS(BK48),0)</f>
        <v>0</v>
      </c>
      <c r="BP48">
        <f>IF(ISBLANK(E48),0,ABS(E48-50))</f>
        <v>0</v>
      </c>
      <c r="BQ48" s="21" t="str">
        <f>IF(OR(ISBLANK(V48),ISBLANK(W48)),"",IF(SUM(V48,W48)=0,"",CONCATENATE(V48,"-",W48)))</f>
        <v/>
      </c>
      <c r="BR48" s="21" t="str">
        <f>IF(OR(AND(OR(AND(A48&gt;75,X48="Final Handicap"),AND(A48&gt;25,X48="1st half Handicap")),OR(AND(G48&gt;20,U48&lt;T48,E48&gt;45),AND(G48&lt;-20,U48&gt;T48,E48&lt;55))),AND(AND(A48-Y48&lt;200,A48-Y48&gt;9),OR(AND(A48&gt;75,X48="Final Handicap"),AND(A48&gt;25,X48="1st half Handicap")),OR(AND(AK48&gt;20,U48&lt;T48,E48&gt;45),AND(AK48&lt;-20,U48&gt;T48,E48&lt;55))),AND(AND(A48-AL48&lt;200,A48-AL48&gt;9),OR(AND(A48&gt;75,X48="Final Handicap"),AND(A48&gt;25,X48="1st half Handicap")),OR(AND(AX48&gt;20,U48&lt;T48,E48&gt;45),AND(AX48&lt;-20,U48&gt;T48,E48&lt;55))),AND(AND(A48-AY48&lt;200,A48-AY48&gt;9),OR(AND(A48&gt;75,X48="Final Handicap"),AND(A48&gt;25,X48="1st half Handicap")),OR(AND(BK48&gt;20,U48&lt;T48,E48&gt;45),AND(BK48&lt;-20,U48&gt;T48,E48&lt;55)))),"GOOD","")</f>
        <v/>
      </c>
      <c r="BS48" s="21"/>
    </row>
    <row r="49" spans="1:71" ht="17.25" x14ac:dyDescent="0.3">
      <c r="A49" s="3"/>
      <c r="D49" s="8" t="str">
        <f>IF(ISBLANK(T49),"",CONCATENATE(T49,"-",U49))</f>
        <v/>
      </c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>
        <f>IF(NOT(ISBLANK(G49)),ABS(G49),0)</f>
        <v>0</v>
      </c>
      <c r="BM49">
        <f>IF(NOT(ISBLANK(AK49)),ABS(AK49),0)</f>
        <v>0</v>
      </c>
      <c r="BN49">
        <f>IF(NOT(ISBLANK(AX49)),ABS(AX49),0)</f>
        <v>0</v>
      </c>
      <c r="BO49">
        <f>IF(NOT(ISBLANK(BK49)),ABS(BK49),0)</f>
        <v>0</v>
      </c>
      <c r="BP49">
        <f>IF(ISBLANK(E49),0,ABS(E49-50))</f>
        <v>0</v>
      </c>
      <c r="BQ49" s="21" t="str">
        <f>IF(OR(ISBLANK(V49),ISBLANK(W49)),"",IF(SUM(V49,W49)=0,"",CONCATENATE(V49,"-",W49)))</f>
        <v/>
      </c>
      <c r="BR49" s="21" t="str">
        <f>IF(OR(AND(OR(AND(A49&gt;75,X49="Final Handicap"),AND(A49&gt;25,X49="1st half Handicap")),OR(AND(G49&gt;20,U49&lt;T49,E49&gt;45),AND(G49&lt;-20,U49&gt;T49,E49&lt;55))),AND(AND(A49-Y49&lt;200,A49-Y49&gt;9),OR(AND(A49&gt;75,X49="Final Handicap"),AND(A49&gt;25,X49="1st half Handicap")),OR(AND(AK49&gt;20,U49&lt;T49,E49&gt;45),AND(AK49&lt;-20,U49&gt;T49,E49&lt;55))),AND(AND(A49-AL49&lt;200,A49-AL49&gt;9),OR(AND(A49&gt;75,X49="Final Handicap"),AND(A49&gt;25,X49="1st half Handicap")),OR(AND(AX49&gt;20,U49&lt;T49,E49&gt;45),AND(AX49&lt;-20,U49&gt;T49,E49&lt;55))),AND(AND(A49-AY49&lt;200,A49-AY49&gt;9),OR(AND(A49&gt;75,X49="Final Handicap"),AND(A49&gt;25,X49="1st half Handicap")),OR(AND(BK49&gt;20,U49&lt;T49,E49&gt;45),AND(BK49&lt;-20,U49&gt;T49,E49&lt;55)))),"GOOD","")</f>
        <v/>
      </c>
      <c r="BS49" s="21"/>
    </row>
    <row r="50" spans="1:71" ht="17.25" x14ac:dyDescent="0.3">
      <c r="A50" s="3"/>
      <c r="D50" s="8" t="str">
        <f>IF(ISBLANK(T50),"",CONCATENATE(T50,"-",U50))</f>
        <v/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>
        <f>IF(NOT(ISBLANK(G50)),ABS(G50),0)</f>
        <v>0</v>
      </c>
      <c r="BM50">
        <f>IF(NOT(ISBLANK(AK50)),ABS(AK50),0)</f>
        <v>0</v>
      </c>
      <c r="BN50">
        <f>IF(NOT(ISBLANK(AX50)),ABS(AX50),0)</f>
        <v>0</v>
      </c>
      <c r="BO50">
        <f>IF(NOT(ISBLANK(BK50)),ABS(BK50),0)</f>
        <v>0</v>
      </c>
      <c r="BP50">
        <f>IF(ISBLANK(E50),0,ABS(E50-50))</f>
        <v>0</v>
      </c>
      <c r="BQ50" s="21" t="str">
        <f>IF(OR(ISBLANK(V50),ISBLANK(W50)),"",IF(SUM(V50,W50)=0,"",CONCATENATE(V50,"-",W50)))</f>
        <v/>
      </c>
      <c r="BR50" s="21" t="str">
        <f>IF(OR(AND(OR(AND(A50&gt;75,X50="Final Handicap"),AND(A50&gt;25,X50="1st half Handicap")),OR(AND(G50&gt;20,U50&lt;T50,E50&gt;45),AND(G50&lt;-20,U50&gt;T50,E50&lt;55))),AND(AND(A50-Y50&lt;200,A50-Y50&gt;9),OR(AND(A50&gt;75,X50="Final Handicap"),AND(A50&gt;25,X50="1st half Handicap")),OR(AND(AK50&gt;20,U50&lt;T50,E50&gt;45),AND(AK50&lt;-20,U50&gt;T50,E50&lt;55))),AND(AND(A50-AL50&lt;200,A50-AL50&gt;9),OR(AND(A50&gt;75,X50="Final Handicap"),AND(A50&gt;25,X50="1st half Handicap")),OR(AND(AX50&gt;20,U50&lt;T50,E50&gt;45),AND(AX50&lt;-20,U50&gt;T50,E50&lt;55))),AND(AND(A50-AY50&lt;200,A50-AY50&gt;9),OR(AND(A50&gt;75,X50="Final Handicap"),AND(A50&gt;25,X50="1st half Handicap")),OR(AND(BK50&gt;20,U50&lt;T50,E50&gt;45),AND(BK50&lt;-20,U50&gt;T50,E50&lt;55)))),"GOOD","")</f>
        <v/>
      </c>
      <c r="BS50" s="21"/>
    </row>
    <row r="51" spans="1:71" ht="17.25" x14ac:dyDescent="0.3">
      <c r="A51" s="3"/>
      <c r="D51" s="8" t="str">
        <f>IF(ISBLANK(T51),"",CONCATENATE(T51,"-",U51))</f>
        <v/>
      </c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>
        <f>IF(NOT(ISBLANK(G51)),ABS(G51),0)</f>
        <v>0</v>
      </c>
      <c r="BM51">
        <f>IF(NOT(ISBLANK(AK51)),ABS(AK51),0)</f>
        <v>0</v>
      </c>
      <c r="BN51">
        <f>IF(NOT(ISBLANK(AX51)),ABS(AX51),0)</f>
        <v>0</v>
      </c>
      <c r="BO51">
        <f>IF(NOT(ISBLANK(BK51)),ABS(BK51),0)</f>
        <v>0</v>
      </c>
      <c r="BP51">
        <f>IF(ISBLANK(E51),0,ABS(E51-50))</f>
        <v>0</v>
      </c>
      <c r="BQ51" s="21" t="str">
        <f>IF(OR(ISBLANK(V51),ISBLANK(W51)),"",IF(SUM(V51,W51)=0,"",CONCATENATE(V51,"-",W51)))</f>
        <v/>
      </c>
      <c r="BR51" s="21" t="str">
        <f>IF(OR(AND(OR(AND(A51&gt;75,X51="Final Handicap"),AND(A51&gt;25,X51="1st half Handicap")),OR(AND(G51&gt;20,U51&lt;T51,E51&gt;45),AND(G51&lt;-20,U51&gt;T51,E51&lt;55))),AND(AND(A51-Y51&lt;200,A51-Y51&gt;9),OR(AND(A51&gt;75,X51="Final Handicap"),AND(A51&gt;25,X51="1st half Handicap")),OR(AND(AK51&gt;20,U51&lt;T51,E51&gt;45),AND(AK51&lt;-20,U51&gt;T51,E51&lt;55))),AND(AND(A51-AL51&lt;200,A51-AL51&gt;9),OR(AND(A51&gt;75,X51="Final Handicap"),AND(A51&gt;25,X51="1st half Handicap")),OR(AND(AX51&gt;20,U51&lt;T51,E51&gt;45),AND(AX51&lt;-20,U51&gt;T51,E51&lt;55))),AND(AND(A51-AY51&lt;200,A51-AY51&gt;9),OR(AND(A51&gt;75,X51="Final Handicap"),AND(A51&gt;25,X51="1st half Handicap")),OR(AND(BK51&gt;20,U51&lt;T51,E51&gt;45),AND(BK51&lt;-20,U51&gt;T51,E51&lt;55)))),"GOOD","")</f>
        <v/>
      </c>
      <c r="BS51" s="21"/>
    </row>
    <row r="52" spans="1:71" ht="17.25" x14ac:dyDescent="0.3">
      <c r="A52" s="3"/>
      <c r="D52" s="8" t="str">
        <f>IF(ISBLANK(T52),"",CONCATENATE(T52,"-",U52))</f>
        <v/>
      </c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>
        <f>IF(NOT(ISBLANK(G52)),ABS(G52),0)</f>
        <v>0</v>
      </c>
      <c r="BM52">
        <f>IF(NOT(ISBLANK(AK52)),ABS(AK52),0)</f>
        <v>0</v>
      </c>
      <c r="BN52">
        <f>IF(NOT(ISBLANK(AX52)),ABS(AX52),0)</f>
        <v>0</v>
      </c>
      <c r="BO52">
        <f>IF(NOT(ISBLANK(BK52)),ABS(BK52),0)</f>
        <v>0</v>
      </c>
      <c r="BP52">
        <f>IF(ISBLANK(E52),0,ABS(E52-50))</f>
        <v>0</v>
      </c>
      <c r="BQ52" s="21" t="str">
        <f>IF(OR(ISBLANK(V52),ISBLANK(W52)),"",IF(SUM(V52,W52)=0,"",CONCATENATE(V52,"-",W52)))</f>
        <v/>
      </c>
      <c r="BR52" s="21" t="str">
        <f>IF(OR(AND(OR(AND(A52&gt;75,X52="Final Handicap"),AND(A52&gt;25,X52="1st half Handicap")),OR(AND(G52&gt;20,U52&lt;T52,E52&gt;45),AND(G52&lt;-20,U52&gt;T52,E52&lt;55))),AND(AND(A52-Y52&lt;200,A52-Y52&gt;9),OR(AND(A52&gt;75,X52="Final Handicap"),AND(A52&gt;25,X52="1st half Handicap")),OR(AND(AK52&gt;20,U52&lt;T52,E52&gt;45),AND(AK52&lt;-20,U52&gt;T52,E52&lt;55))),AND(AND(A52-AL52&lt;200,A52-AL52&gt;9),OR(AND(A52&gt;75,X52="Final Handicap"),AND(A52&gt;25,X52="1st half Handicap")),OR(AND(AX52&gt;20,U52&lt;T52,E52&gt;45),AND(AX52&lt;-20,U52&gt;T52,E52&lt;55))),AND(AND(A52-AY52&lt;200,A52-AY52&gt;9),OR(AND(A52&gt;75,X52="Final Handicap"),AND(A52&gt;25,X52="1st half Handicap")),OR(AND(BK52&gt;20,U52&lt;T52,E52&gt;45),AND(BK52&lt;-20,U52&gt;T52,E52&lt;55)))),"GOOD","")</f>
        <v/>
      </c>
      <c r="BS52" s="21"/>
    </row>
    <row r="53" spans="1:71" ht="17.25" x14ac:dyDescent="0.3">
      <c r="A53" s="3"/>
      <c r="D53" s="8" t="str">
        <f>IF(ISBLANK(T53),"",CONCATENATE(T53,"-",U53))</f>
        <v/>
      </c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>
        <f>IF(NOT(ISBLANK(G53)),ABS(G53),0)</f>
        <v>0</v>
      </c>
      <c r="BM53">
        <f>IF(NOT(ISBLANK(AK53)),ABS(AK53),0)</f>
        <v>0</v>
      </c>
      <c r="BN53">
        <f>IF(NOT(ISBLANK(AX53)),ABS(AX53),0)</f>
        <v>0</v>
      </c>
      <c r="BO53">
        <f>IF(NOT(ISBLANK(BK53)),ABS(BK53),0)</f>
        <v>0</v>
      </c>
      <c r="BP53">
        <f>IF(ISBLANK(E53),0,ABS(E53-50))</f>
        <v>0</v>
      </c>
      <c r="BQ53" s="21" t="str">
        <f>IF(OR(ISBLANK(V53),ISBLANK(W53)),"",IF(SUM(V53,W53)=0,"",CONCATENATE(V53,"-",W53)))</f>
        <v/>
      </c>
      <c r="BR53" s="21" t="str">
        <f>IF(OR(AND(OR(AND(A53&gt;75,X53="Final Handicap"),AND(A53&gt;25,X53="1st half Handicap")),OR(AND(G53&gt;20,U53&lt;T53,E53&gt;45),AND(G53&lt;-20,U53&gt;T53,E53&lt;55))),AND(AND(A53-Y53&lt;200,A53-Y53&gt;9),OR(AND(A53&gt;75,X53="Final Handicap"),AND(A53&gt;25,X53="1st half Handicap")),OR(AND(AK53&gt;20,U53&lt;T53,E53&gt;45),AND(AK53&lt;-20,U53&gt;T53,E53&lt;55))),AND(AND(A53-AL53&lt;200,A53-AL53&gt;9),OR(AND(A53&gt;75,X53="Final Handicap"),AND(A53&gt;25,X53="1st half Handicap")),OR(AND(AX53&gt;20,U53&lt;T53,E53&gt;45),AND(AX53&lt;-20,U53&gt;T53,E53&lt;55))),AND(AND(A53-AY53&lt;200,A53-AY53&gt;9),OR(AND(A53&gt;75,X53="Final Handicap"),AND(A53&gt;25,X53="1st half Handicap")),OR(AND(BK53&gt;20,U53&lt;T53,E53&gt;45),AND(BK53&lt;-20,U53&gt;T53,E53&lt;55)))),"GOOD","")</f>
        <v/>
      </c>
      <c r="BS53" s="21"/>
    </row>
    <row r="54" spans="1:71" ht="17.25" x14ac:dyDescent="0.3">
      <c r="A54" s="3"/>
      <c r="D54" s="8" t="str">
        <f>IF(ISBLANK(T54),"",CONCATENATE(T54,"-",U54))</f>
        <v/>
      </c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>
        <f>IF(NOT(ISBLANK(G54)),ABS(G54),0)</f>
        <v>0</v>
      </c>
      <c r="BM54">
        <f>IF(NOT(ISBLANK(AK54)),ABS(AK54),0)</f>
        <v>0</v>
      </c>
      <c r="BN54">
        <f>IF(NOT(ISBLANK(AX54)),ABS(AX54),0)</f>
        <v>0</v>
      </c>
      <c r="BO54">
        <f>IF(NOT(ISBLANK(BK54)),ABS(BK54),0)</f>
        <v>0</v>
      </c>
      <c r="BP54">
        <f>IF(ISBLANK(E54),0,ABS(E54-50))</f>
        <v>0</v>
      </c>
      <c r="BQ54" s="21" t="str">
        <f>IF(OR(ISBLANK(V54),ISBLANK(W54)),"",IF(SUM(V54,W54)=0,"",CONCATENATE(V54,"-",W54)))</f>
        <v/>
      </c>
      <c r="BR54" s="21" t="str">
        <f>IF(OR(AND(OR(AND(A54&gt;75,X54="Final Handicap"),AND(A54&gt;25,X54="1st half Handicap")),OR(AND(G54&gt;20,U54&lt;T54,E54&gt;45),AND(G54&lt;-20,U54&gt;T54,E54&lt;55))),AND(AND(A54-Y54&lt;200,A54-Y54&gt;9),OR(AND(A54&gt;75,X54="Final Handicap"),AND(A54&gt;25,X54="1st half Handicap")),OR(AND(AK54&gt;20,U54&lt;T54,E54&gt;45),AND(AK54&lt;-20,U54&gt;T54,E54&lt;55))),AND(AND(A54-AL54&lt;200,A54-AL54&gt;9),OR(AND(A54&gt;75,X54="Final Handicap"),AND(A54&gt;25,X54="1st half Handicap")),OR(AND(AX54&gt;20,U54&lt;T54,E54&gt;45),AND(AX54&lt;-20,U54&gt;T54,E54&lt;55))),AND(AND(A54-AY54&lt;200,A54-AY54&gt;9),OR(AND(A54&gt;75,X54="Final Handicap"),AND(A54&gt;25,X54="1st half Handicap")),OR(AND(BK54&gt;20,U54&lt;T54,E54&gt;45),AND(BK54&lt;-20,U54&gt;T54,E54&lt;55)))),"GOOD","")</f>
        <v/>
      </c>
      <c r="BS54" s="21"/>
    </row>
    <row r="55" spans="1:71" ht="17.25" x14ac:dyDescent="0.3">
      <c r="A55" s="3"/>
      <c r="D55" s="8" t="str">
        <f>IF(ISBLANK(T55),"",CONCATENATE(T55,"-",U55))</f>
        <v/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>
        <f>IF(NOT(ISBLANK(G55)),ABS(G55),0)</f>
        <v>0</v>
      </c>
      <c r="BM55">
        <f>IF(NOT(ISBLANK(AK55)),ABS(AK55),0)</f>
        <v>0</v>
      </c>
      <c r="BN55">
        <f>IF(NOT(ISBLANK(AX55)),ABS(AX55),0)</f>
        <v>0</v>
      </c>
      <c r="BO55">
        <f>IF(NOT(ISBLANK(BK55)),ABS(BK55),0)</f>
        <v>0</v>
      </c>
      <c r="BP55">
        <f>IF(ISBLANK(E55),0,ABS(E55-50))</f>
        <v>0</v>
      </c>
      <c r="BQ55" s="21" t="str">
        <f>IF(OR(ISBLANK(V55),ISBLANK(W55)),"",IF(SUM(V55,W55)=0,"",CONCATENATE(V55,"-",W55)))</f>
        <v/>
      </c>
      <c r="BR55" s="21" t="str">
        <f>IF(OR(AND(OR(AND(A55&gt;75,X55="Final Handicap"),AND(A55&gt;25,X55="1st half Handicap")),OR(AND(G55&gt;20,U55&lt;T55,E55&gt;45),AND(G55&lt;-20,U55&gt;T55,E55&lt;55))),AND(AND(A55-Y55&lt;200,A55-Y55&gt;9),OR(AND(A55&gt;75,X55="Final Handicap"),AND(A55&gt;25,X55="1st half Handicap")),OR(AND(AK55&gt;20,U55&lt;T55,E55&gt;45),AND(AK55&lt;-20,U55&gt;T55,E55&lt;55))),AND(AND(A55-AL55&lt;200,A55-AL55&gt;9),OR(AND(A55&gt;75,X55="Final Handicap"),AND(A55&gt;25,X55="1st half Handicap")),OR(AND(AX55&gt;20,U55&lt;T55,E55&gt;45),AND(AX55&lt;-20,U55&gt;T55,E55&lt;55))),AND(AND(A55-AY55&lt;200,A55-AY55&gt;9),OR(AND(A55&gt;75,X55="Final Handicap"),AND(A55&gt;25,X55="1st half Handicap")),OR(AND(BK55&gt;20,U55&lt;T55,E55&gt;45),AND(BK55&lt;-20,U55&gt;T55,E55&lt;55)))),"GOOD","")</f>
        <v/>
      </c>
      <c r="BS55" s="21"/>
    </row>
    <row r="56" spans="1:71" ht="17.25" x14ac:dyDescent="0.3">
      <c r="A56" s="3"/>
      <c r="D56" s="8" t="str">
        <f>IF(ISBLANK(T56),"",CONCATENATE(T56,"-",U56))</f>
        <v/>
      </c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>
        <f>IF(NOT(ISBLANK(G56)),ABS(G56),0)</f>
        <v>0</v>
      </c>
      <c r="BM56">
        <f>IF(NOT(ISBLANK(AK56)),ABS(AK56),0)</f>
        <v>0</v>
      </c>
      <c r="BN56">
        <f>IF(NOT(ISBLANK(AX56)),ABS(AX56),0)</f>
        <v>0</v>
      </c>
      <c r="BO56">
        <f>IF(NOT(ISBLANK(BK56)),ABS(BK56),0)</f>
        <v>0</v>
      </c>
      <c r="BP56">
        <f>IF(ISBLANK(E56),0,ABS(E56-50))</f>
        <v>0</v>
      </c>
      <c r="BQ56" s="21" t="str">
        <f>IF(OR(ISBLANK(V56),ISBLANK(W56)),"",IF(SUM(V56,W56)=0,"",CONCATENATE(V56,"-",W56)))</f>
        <v/>
      </c>
      <c r="BR56" s="21" t="str">
        <f>IF(OR(AND(OR(AND(A56&gt;75,X56="Final Handicap"),AND(A56&gt;25,X56="1st half Handicap")),OR(AND(G56&gt;20,U56&lt;T56,E56&gt;45),AND(G56&lt;-20,U56&gt;T56,E56&lt;55))),AND(AND(A56-Y56&lt;200,A56-Y56&gt;9),OR(AND(A56&gt;75,X56="Final Handicap"),AND(A56&gt;25,X56="1st half Handicap")),OR(AND(AK56&gt;20,U56&lt;T56,E56&gt;45),AND(AK56&lt;-20,U56&gt;T56,E56&lt;55))),AND(AND(A56-AL56&lt;200,A56-AL56&gt;9),OR(AND(A56&gt;75,X56="Final Handicap"),AND(A56&gt;25,X56="1st half Handicap")),OR(AND(AX56&gt;20,U56&lt;T56,E56&gt;45),AND(AX56&lt;-20,U56&gt;T56,E56&lt;55))),AND(AND(A56-AY56&lt;200,A56-AY56&gt;9),OR(AND(A56&gt;75,X56="Final Handicap"),AND(A56&gt;25,X56="1st half Handicap")),OR(AND(BK56&gt;20,U56&lt;T56,E56&gt;45),AND(BK56&lt;-20,U56&gt;T56,E56&lt;55)))),"GOOD","")</f>
        <v/>
      </c>
      <c r="BS56" s="21"/>
    </row>
    <row r="57" spans="1:71" ht="17.25" x14ac:dyDescent="0.3">
      <c r="A57" s="3"/>
      <c r="D57" s="8" t="str">
        <f>IF(ISBLANK(T57),"",CONCATENATE(T57,"-",U57))</f>
        <v/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>
        <f>IF(NOT(ISBLANK(G57)),ABS(G57),0)</f>
        <v>0</v>
      </c>
      <c r="BM57">
        <f>IF(NOT(ISBLANK(AK57)),ABS(AK57),0)</f>
        <v>0</v>
      </c>
      <c r="BN57">
        <f>IF(NOT(ISBLANK(AX57)),ABS(AX57),0)</f>
        <v>0</v>
      </c>
      <c r="BO57">
        <f>IF(NOT(ISBLANK(BK57)),ABS(BK57),0)</f>
        <v>0</v>
      </c>
      <c r="BP57">
        <f>IF(ISBLANK(E57),0,ABS(E57-50))</f>
        <v>0</v>
      </c>
      <c r="BQ57" s="21" t="str">
        <f>IF(OR(ISBLANK(V57),ISBLANK(W57)),"",IF(SUM(V57,W57)=0,"",CONCATENATE(V57,"-",W57)))</f>
        <v/>
      </c>
      <c r="BR57" s="21" t="str">
        <f>IF(OR(AND(OR(AND(A57&gt;75,X57="Final Handicap"),AND(A57&gt;25,X57="1st half Handicap")),OR(AND(G57&gt;20,U57&lt;T57,E57&gt;45),AND(G57&lt;-20,U57&gt;T57,E57&lt;55))),AND(AND(A57-Y57&lt;200,A57-Y57&gt;9),OR(AND(A57&gt;75,X57="Final Handicap"),AND(A57&gt;25,X57="1st half Handicap")),OR(AND(AK57&gt;20,U57&lt;T57,E57&gt;45),AND(AK57&lt;-20,U57&gt;T57,E57&lt;55))),AND(AND(A57-AL57&lt;200,A57-AL57&gt;9),OR(AND(A57&gt;75,X57="Final Handicap"),AND(A57&gt;25,X57="1st half Handicap")),OR(AND(AX57&gt;20,U57&lt;T57,E57&gt;45),AND(AX57&lt;-20,U57&gt;T57,E57&lt;55))),AND(AND(A57-AY57&lt;200,A57-AY57&gt;9),OR(AND(A57&gt;75,X57="Final Handicap"),AND(A57&gt;25,X57="1st half Handicap")),OR(AND(BK57&gt;20,U57&lt;T57,E57&gt;45),AND(BK57&lt;-20,U57&gt;T57,E57&lt;55)))),"GOOD","")</f>
        <v/>
      </c>
      <c r="BS57" s="21"/>
    </row>
    <row r="58" spans="1:71" ht="17.25" x14ac:dyDescent="0.3">
      <c r="A58" s="3"/>
      <c r="D58" s="8" t="str">
        <f>IF(ISBLANK(T58),"",CONCATENATE(T58,"-",U58))</f>
        <v/>
      </c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>
        <f>IF(NOT(ISBLANK(G58)),ABS(G58),0)</f>
        <v>0</v>
      </c>
      <c r="BM58">
        <f>IF(NOT(ISBLANK(AK58)),ABS(AK58),0)</f>
        <v>0</v>
      </c>
      <c r="BN58">
        <f>IF(NOT(ISBLANK(AX58)),ABS(AX58),0)</f>
        <v>0</v>
      </c>
      <c r="BO58">
        <f>IF(NOT(ISBLANK(BK58)),ABS(BK58),0)</f>
        <v>0</v>
      </c>
      <c r="BP58">
        <f>IF(ISBLANK(E58),0,ABS(E58-50))</f>
        <v>0</v>
      </c>
      <c r="BQ58" s="21" t="str">
        <f>IF(OR(ISBLANK(V58),ISBLANK(W58)),"",IF(SUM(V58,W58)=0,"",CONCATENATE(V58,"-",W58)))</f>
        <v/>
      </c>
      <c r="BR58" s="21" t="str">
        <f>IF(OR(AND(OR(AND(A58&gt;75,X58="Final Handicap"),AND(A58&gt;25,X58="1st half Handicap")),OR(AND(G58&gt;20,U58&lt;T58,E58&gt;45),AND(G58&lt;-20,U58&gt;T58,E58&lt;55))),AND(AND(A58-Y58&lt;200,A58-Y58&gt;9),OR(AND(A58&gt;75,X58="Final Handicap"),AND(A58&gt;25,X58="1st half Handicap")),OR(AND(AK58&gt;20,U58&lt;T58,E58&gt;45),AND(AK58&lt;-20,U58&gt;T58,E58&lt;55))),AND(AND(A58-AL58&lt;200,A58-AL58&gt;9),OR(AND(A58&gt;75,X58="Final Handicap"),AND(A58&gt;25,X58="1st half Handicap")),OR(AND(AX58&gt;20,U58&lt;T58,E58&gt;45),AND(AX58&lt;-20,U58&gt;T58,E58&lt;55))),AND(AND(A58-AY58&lt;200,A58-AY58&gt;9),OR(AND(A58&gt;75,X58="Final Handicap"),AND(A58&gt;25,X58="1st half Handicap")),OR(AND(BK58&gt;20,U58&lt;T58,E58&gt;45),AND(BK58&lt;-20,U58&gt;T58,E58&lt;55)))),"GOOD","")</f>
        <v/>
      </c>
      <c r="BS58" s="21"/>
    </row>
    <row r="59" spans="1:71" ht="17.25" x14ac:dyDescent="0.3">
      <c r="A59" s="3"/>
      <c r="D59" s="8" t="str">
        <f>IF(ISBLANK(T59),"",CONCATENATE(T59,"-",U59))</f>
        <v/>
      </c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>
        <f>IF(NOT(ISBLANK(G59)),ABS(G59),0)</f>
        <v>0</v>
      </c>
      <c r="BM59">
        <f>IF(NOT(ISBLANK(AK59)),ABS(AK59),0)</f>
        <v>0</v>
      </c>
      <c r="BN59">
        <f>IF(NOT(ISBLANK(AX59)),ABS(AX59),0)</f>
        <v>0</v>
      </c>
      <c r="BO59">
        <f>IF(NOT(ISBLANK(BK59)),ABS(BK59),0)</f>
        <v>0</v>
      </c>
      <c r="BP59">
        <f>IF(ISBLANK(E59),0,ABS(E59-50))</f>
        <v>0</v>
      </c>
      <c r="BQ59" s="21" t="str">
        <f>IF(OR(ISBLANK(V59),ISBLANK(W59)),"",IF(SUM(V59,W59)=0,"",CONCATENATE(V59,"-",W59)))</f>
        <v/>
      </c>
      <c r="BR59" s="21" t="str">
        <f>IF(OR(AND(OR(AND(A59&gt;75,X59="Final Handicap"),AND(A59&gt;25,X59="1st half Handicap")),OR(AND(G59&gt;20,U59&lt;T59,E59&gt;45),AND(G59&lt;-20,U59&gt;T59,E59&lt;55))),AND(AND(A59-Y59&lt;200,A59-Y59&gt;9),OR(AND(A59&gt;75,X59="Final Handicap"),AND(A59&gt;25,X59="1st half Handicap")),OR(AND(AK59&gt;20,U59&lt;T59,E59&gt;45),AND(AK59&lt;-20,U59&gt;T59,E59&lt;55))),AND(AND(A59-AL59&lt;200,A59-AL59&gt;9),OR(AND(A59&gt;75,X59="Final Handicap"),AND(A59&gt;25,X59="1st half Handicap")),OR(AND(AX59&gt;20,U59&lt;T59,E59&gt;45),AND(AX59&lt;-20,U59&gt;T59,E59&lt;55))),AND(AND(A59-AY59&lt;200,A59-AY59&gt;9),OR(AND(A59&gt;75,X59="Final Handicap"),AND(A59&gt;25,X59="1st half Handicap")),OR(AND(BK59&gt;20,U59&lt;T59,E59&gt;45),AND(BK59&lt;-20,U59&gt;T59,E59&lt;55)))),"GOOD","")</f>
        <v/>
      </c>
      <c r="BS59" s="21"/>
    </row>
    <row r="60" spans="1:71" ht="17.25" x14ac:dyDescent="0.3">
      <c r="A60" s="3"/>
      <c r="D60" s="8" t="str">
        <f>IF(ISBLANK(T60),"",CONCATENATE(T60,"-",U60))</f>
        <v/>
      </c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>
        <f>IF(NOT(ISBLANK(G60)),ABS(G60),0)</f>
        <v>0</v>
      </c>
      <c r="BM60">
        <f>IF(NOT(ISBLANK(AK60)),ABS(AK60),0)</f>
        <v>0</v>
      </c>
      <c r="BN60">
        <f>IF(NOT(ISBLANK(AX60)),ABS(AX60),0)</f>
        <v>0</v>
      </c>
      <c r="BO60">
        <f>IF(NOT(ISBLANK(BK60)),ABS(BK60),0)</f>
        <v>0</v>
      </c>
      <c r="BP60">
        <f>IF(ISBLANK(E60),0,ABS(E60-50))</f>
        <v>0</v>
      </c>
      <c r="BQ60" s="21" t="str">
        <f>IF(OR(ISBLANK(V60),ISBLANK(W60)),"",IF(SUM(V60,W60)=0,"",CONCATENATE(V60,"-",W60)))</f>
        <v/>
      </c>
      <c r="BR60" s="21" t="str">
        <f>IF(OR(AND(OR(AND(A60&gt;75,X60="Final Handicap"),AND(A60&gt;25,X60="1st half Handicap")),OR(AND(G60&gt;20,U60&lt;T60,E60&gt;45),AND(G60&lt;-20,U60&gt;T60,E60&lt;55))),AND(AND(A60-Y60&lt;200,A60-Y60&gt;9),OR(AND(A60&gt;75,X60="Final Handicap"),AND(A60&gt;25,X60="1st half Handicap")),OR(AND(AK60&gt;20,U60&lt;T60,E60&gt;45),AND(AK60&lt;-20,U60&gt;T60,E60&lt;55))),AND(AND(A60-AL60&lt;200,A60-AL60&gt;9),OR(AND(A60&gt;75,X60="Final Handicap"),AND(A60&gt;25,X60="1st half Handicap")),OR(AND(AX60&gt;20,U60&lt;T60,E60&gt;45),AND(AX60&lt;-20,U60&gt;T60,E60&lt;55))),AND(AND(A60-AY60&lt;200,A60-AY60&gt;9),OR(AND(A60&gt;75,X60="Final Handicap"),AND(A60&gt;25,X60="1st half Handicap")),OR(AND(BK60&gt;20,U60&lt;T60,E60&gt;45),AND(BK60&lt;-20,U60&gt;T60,E60&lt;55)))),"GOOD","")</f>
        <v/>
      </c>
      <c r="BS60" s="21"/>
    </row>
    <row r="61" spans="1:71" ht="17.25" x14ac:dyDescent="0.3">
      <c r="A61" s="3"/>
      <c r="D61" s="8" t="str">
        <f>IF(ISBLANK(T61),"",CONCATENATE(T61,"-",U61))</f>
        <v/>
      </c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>
        <f>IF(NOT(ISBLANK(G61)),ABS(G61),0)</f>
        <v>0</v>
      </c>
      <c r="BM61">
        <f>IF(NOT(ISBLANK(AK61)),ABS(AK61),0)</f>
        <v>0</v>
      </c>
      <c r="BN61">
        <f>IF(NOT(ISBLANK(AX61)),ABS(AX61),0)</f>
        <v>0</v>
      </c>
      <c r="BO61">
        <f>IF(NOT(ISBLANK(BK61)),ABS(BK61),0)</f>
        <v>0</v>
      </c>
      <c r="BP61">
        <f>IF(ISBLANK(E61),0,ABS(E61-50))</f>
        <v>0</v>
      </c>
      <c r="BQ61" s="21" t="str">
        <f>IF(OR(ISBLANK(V61),ISBLANK(W61)),"",IF(SUM(V61,W61)=0,"",CONCATENATE(V61,"-",W61)))</f>
        <v/>
      </c>
      <c r="BR61" s="21" t="str">
        <f>IF(OR(AND(OR(AND(A61&gt;75,X61="Final Handicap"),AND(A61&gt;25,X61="1st half Handicap")),OR(AND(G61&gt;20,U61&lt;T61,E61&gt;45),AND(G61&lt;-20,U61&gt;T61,E61&lt;55))),AND(AND(A61-Y61&lt;200,A61-Y61&gt;9),OR(AND(A61&gt;75,X61="Final Handicap"),AND(A61&gt;25,X61="1st half Handicap")),OR(AND(AK61&gt;20,U61&lt;T61,E61&gt;45),AND(AK61&lt;-20,U61&gt;T61,E61&lt;55))),AND(AND(A61-AL61&lt;200,A61-AL61&gt;9),OR(AND(A61&gt;75,X61="Final Handicap"),AND(A61&gt;25,X61="1st half Handicap")),OR(AND(AX61&gt;20,U61&lt;T61,E61&gt;45),AND(AX61&lt;-20,U61&gt;T61,E61&lt;55))),AND(AND(A61-AY61&lt;200,A61-AY61&gt;9),OR(AND(A61&gt;75,X61="Final Handicap"),AND(A61&gt;25,X61="1st half Handicap")),OR(AND(BK61&gt;20,U61&lt;T61,E61&gt;45),AND(BK61&lt;-20,U61&gt;T61,E61&lt;55)))),"GOOD","")</f>
        <v/>
      </c>
      <c r="BS61" s="21"/>
    </row>
    <row r="62" spans="1:71" ht="17.25" x14ac:dyDescent="0.3">
      <c r="A62" s="3"/>
      <c r="D62" s="8" t="str">
        <f>IF(ISBLANK(T62),"",CONCATENATE(T62,"-",U62))</f>
        <v/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>
        <f>IF(NOT(ISBLANK(G62)),ABS(G62),0)</f>
        <v>0</v>
      </c>
      <c r="BM62">
        <f>IF(NOT(ISBLANK(AK62)),ABS(AK62),0)</f>
        <v>0</v>
      </c>
      <c r="BN62">
        <f>IF(NOT(ISBLANK(AX62)),ABS(AX62),0)</f>
        <v>0</v>
      </c>
      <c r="BO62">
        <f>IF(NOT(ISBLANK(BK62)),ABS(BK62),0)</f>
        <v>0</v>
      </c>
      <c r="BP62">
        <f>IF(ISBLANK(E62),0,ABS(E62-50))</f>
        <v>0</v>
      </c>
      <c r="BQ62" s="21" t="str">
        <f>IF(OR(ISBLANK(V62),ISBLANK(W62)),"",IF(SUM(V62,W62)=0,"",CONCATENATE(V62,"-",W62)))</f>
        <v/>
      </c>
      <c r="BR62" s="21" t="str">
        <f>IF(OR(AND(OR(AND(A62&gt;75,X62="Final Handicap"),AND(A62&gt;25,X62="1st half Handicap")),OR(AND(G62&gt;20,U62&lt;T62,E62&gt;45),AND(G62&lt;-20,U62&gt;T62,E62&lt;55))),AND(AND(A62-Y62&lt;200,A62-Y62&gt;9),OR(AND(A62&gt;75,X62="Final Handicap"),AND(A62&gt;25,X62="1st half Handicap")),OR(AND(AK62&gt;20,U62&lt;T62,E62&gt;45),AND(AK62&lt;-20,U62&gt;T62,E62&lt;55))),AND(AND(A62-AL62&lt;200,A62-AL62&gt;9),OR(AND(A62&gt;75,X62="Final Handicap"),AND(A62&gt;25,X62="1st half Handicap")),OR(AND(AX62&gt;20,U62&lt;T62,E62&gt;45),AND(AX62&lt;-20,U62&gt;T62,E62&lt;55))),AND(AND(A62-AY62&lt;200,A62-AY62&gt;9),OR(AND(A62&gt;75,X62="Final Handicap"),AND(A62&gt;25,X62="1st half Handicap")),OR(AND(BK62&gt;20,U62&lt;T62,E62&gt;45),AND(BK62&lt;-20,U62&gt;T62,E62&lt;55)))),"GOOD","")</f>
        <v/>
      </c>
      <c r="BS62" s="21"/>
    </row>
    <row r="63" spans="1:71" ht="17.25" x14ac:dyDescent="0.3">
      <c r="A63" s="3"/>
      <c r="D63" s="8" t="str">
        <f>IF(ISBLANK(T63),"",CONCATENATE(T63,"-",U63))</f>
        <v/>
      </c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>
        <f>IF(NOT(ISBLANK(G63)),ABS(G63),0)</f>
        <v>0</v>
      </c>
      <c r="BM63">
        <f>IF(NOT(ISBLANK(AK63)),ABS(AK63),0)</f>
        <v>0</v>
      </c>
      <c r="BN63">
        <f>IF(NOT(ISBLANK(AX63)),ABS(AX63),0)</f>
        <v>0</v>
      </c>
      <c r="BO63">
        <f>IF(NOT(ISBLANK(BK63)),ABS(BK63),0)</f>
        <v>0</v>
      </c>
      <c r="BP63">
        <f>IF(ISBLANK(E63),0,ABS(E63-50))</f>
        <v>0</v>
      </c>
      <c r="BQ63" s="21" t="str">
        <f>IF(OR(ISBLANK(V63),ISBLANK(W63)),"",IF(SUM(V63,W63)=0,"",CONCATENATE(V63,"-",W63)))</f>
        <v/>
      </c>
      <c r="BR63" s="21" t="str">
        <f>IF(OR(AND(OR(AND(A63&gt;75,X63="Final Handicap"),AND(A63&gt;25,X63="1st half Handicap")),OR(AND(G63&gt;20,U63&lt;T63,E63&gt;45),AND(G63&lt;-20,U63&gt;T63,E63&lt;55))),AND(AND(A63-Y63&lt;200,A63-Y63&gt;9),OR(AND(A63&gt;75,X63="Final Handicap"),AND(A63&gt;25,X63="1st half Handicap")),OR(AND(AK63&gt;20,U63&lt;T63,E63&gt;45),AND(AK63&lt;-20,U63&gt;T63,E63&lt;55))),AND(AND(A63-AL63&lt;200,A63-AL63&gt;9),OR(AND(A63&gt;75,X63="Final Handicap"),AND(A63&gt;25,X63="1st half Handicap")),OR(AND(AX63&gt;20,U63&lt;T63,E63&gt;45),AND(AX63&lt;-20,U63&gt;T63,E63&lt;55))),AND(AND(A63-AY63&lt;200,A63-AY63&gt;9),OR(AND(A63&gt;75,X63="Final Handicap"),AND(A63&gt;25,X63="1st half Handicap")),OR(AND(BK63&gt;20,U63&lt;T63,E63&gt;45),AND(BK63&lt;-20,U63&gt;T63,E63&lt;55)))),"GOOD","")</f>
        <v/>
      </c>
      <c r="BS63" s="21"/>
    </row>
    <row r="64" spans="1:71" ht="17.25" x14ac:dyDescent="0.3">
      <c r="A64" s="3"/>
      <c r="D64" s="8" t="str">
        <f>IF(ISBLANK(T64),"",CONCATENATE(T64,"-",U64))</f>
        <v/>
      </c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>
        <f>IF(NOT(ISBLANK(G64)),ABS(G64),0)</f>
        <v>0</v>
      </c>
      <c r="BM64">
        <f>IF(NOT(ISBLANK(AK64)),ABS(AK64),0)</f>
        <v>0</v>
      </c>
      <c r="BN64">
        <f>IF(NOT(ISBLANK(AX64)),ABS(AX64),0)</f>
        <v>0</v>
      </c>
      <c r="BO64">
        <f>IF(NOT(ISBLANK(BK64)),ABS(BK64),0)</f>
        <v>0</v>
      </c>
      <c r="BP64">
        <f>IF(ISBLANK(E64),0,ABS(E64-50))</f>
        <v>0</v>
      </c>
      <c r="BQ64" s="21" t="str">
        <f>IF(OR(ISBLANK(V64),ISBLANK(W64)),"",IF(SUM(V64,W64)=0,"",CONCATENATE(V64,"-",W64)))</f>
        <v/>
      </c>
      <c r="BR64" s="21" t="str">
        <f>IF(OR(AND(OR(AND(A64&gt;75,X64="Final Handicap"),AND(A64&gt;25,X64="1st half Handicap")),OR(AND(G64&gt;20,U64&lt;T64,E64&gt;45),AND(G64&lt;-20,U64&gt;T64,E64&lt;55))),AND(AND(A64-Y64&lt;200,A64-Y64&gt;9),OR(AND(A64&gt;75,X64="Final Handicap"),AND(A64&gt;25,X64="1st half Handicap")),OR(AND(AK64&gt;20,U64&lt;T64,E64&gt;45),AND(AK64&lt;-20,U64&gt;T64,E64&lt;55))),AND(AND(A64-AL64&lt;200,A64-AL64&gt;9),OR(AND(A64&gt;75,X64="Final Handicap"),AND(A64&gt;25,X64="1st half Handicap")),OR(AND(AX64&gt;20,U64&lt;T64,E64&gt;45),AND(AX64&lt;-20,U64&gt;T64,E64&lt;55))),AND(AND(A64-AY64&lt;200,A64-AY64&gt;9),OR(AND(A64&gt;75,X64="Final Handicap"),AND(A64&gt;25,X64="1st half Handicap")),OR(AND(BK64&gt;20,U64&lt;T64,E64&gt;45),AND(BK64&lt;-20,U64&gt;T64,E64&lt;55)))),"GOOD","")</f>
        <v/>
      </c>
      <c r="BS64" s="21"/>
    </row>
    <row r="65" spans="1:71" ht="17.25" x14ac:dyDescent="0.3">
      <c r="A65" s="3"/>
      <c r="D65" s="8" t="str">
        <f>IF(ISBLANK(T65),"",CONCATENATE(T65,"-",U65))</f>
        <v/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>
        <f>IF(NOT(ISBLANK(G65)),ABS(G65),0)</f>
        <v>0</v>
      </c>
      <c r="BM65">
        <f>IF(NOT(ISBLANK(AK65)),ABS(AK65),0)</f>
        <v>0</v>
      </c>
      <c r="BN65">
        <f>IF(NOT(ISBLANK(AX65)),ABS(AX65),0)</f>
        <v>0</v>
      </c>
      <c r="BO65">
        <f>IF(NOT(ISBLANK(BK65)),ABS(BK65),0)</f>
        <v>0</v>
      </c>
      <c r="BP65">
        <f>IF(ISBLANK(E65),0,ABS(E65-50))</f>
        <v>0</v>
      </c>
      <c r="BQ65" s="21" t="str">
        <f>IF(OR(ISBLANK(V65),ISBLANK(W65)),"",IF(SUM(V65,W65)=0,"",CONCATENATE(V65,"-",W65)))</f>
        <v/>
      </c>
      <c r="BR65" s="21" t="str">
        <f>IF(OR(AND(OR(AND(A65&gt;75,X65="Final Handicap"),AND(A65&gt;25,X65="1st half Handicap")),OR(AND(G65&gt;20,U65&lt;T65,E65&gt;45),AND(G65&lt;-20,U65&gt;T65,E65&lt;55))),AND(AND(A65-Y65&lt;200,A65-Y65&gt;9),OR(AND(A65&gt;75,X65="Final Handicap"),AND(A65&gt;25,X65="1st half Handicap")),OR(AND(AK65&gt;20,U65&lt;T65,E65&gt;45),AND(AK65&lt;-20,U65&gt;T65,E65&lt;55))),AND(AND(A65-AL65&lt;200,A65-AL65&gt;9),OR(AND(A65&gt;75,X65="Final Handicap"),AND(A65&gt;25,X65="1st half Handicap")),OR(AND(AX65&gt;20,U65&lt;T65,E65&gt;45),AND(AX65&lt;-20,U65&gt;T65,E65&lt;55))),AND(AND(A65-AY65&lt;200,A65-AY65&gt;9),OR(AND(A65&gt;75,X65="Final Handicap"),AND(A65&gt;25,X65="1st half Handicap")),OR(AND(BK65&gt;20,U65&lt;T65,E65&gt;45),AND(BK65&lt;-20,U65&gt;T65,E65&lt;55)))),"GOOD","")</f>
        <v/>
      </c>
      <c r="BS65" s="21"/>
    </row>
    <row r="66" spans="1:71" ht="17.25" x14ac:dyDescent="0.3">
      <c r="A66" s="3"/>
      <c r="D66" s="8" t="str">
        <f>IF(ISBLANK(T66),"",CONCATENATE(T66,"-",U66))</f>
        <v/>
      </c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>
        <f>IF(NOT(ISBLANK(G66)),ABS(G66),0)</f>
        <v>0</v>
      </c>
      <c r="BM66">
        <f>IF(NOT(ISBLANK(AK66)),ABS(AK66),0)</f>
        <v>0</v>
      </c>
      <c r="BN66">
        <f>IF(NOT(ISBLANK(AX66)),ABS(AX66),0)</f>
        <v>0</v>
      </c>
      <c r="BO66">
        <f>IF(NOT(ISBLANK(BK66)),ABS(BK66),0)</f>
        <v>0</v>
      </c>
      <c r="BP66">
        <f>IF(ISBLANK(E66),0,ABS(E66-50))</f>
        <v>0</v>
      </c>
      <c r="BQ66" s="21" t="str">
        <f>IF(OR(ISBLANK(V66),ISBLANK(W66)),"",IF(SUM(V66,W66)=0,"",CONCATENATE(V66,"-",W66)))</f>
        <v/>
      </c>
      <c r="BR66" s="21" t="str">
        <f>IF(OR(AND(OR(AND(A66&gt;75,X66="Final Handicap"),AND(A66&gt;25,X66="1st half Handicap")),OR(AND(G66&gt;20,U66&lt;T66,E66&gt;45),AND(G66&lt;-20,U66&gt;T66,E66&lt;55))),AND(AND(A66-Y66&lt;200,A66-Y66&gt;9),OR(AND(A66&gt;75,X66="Final Handicap"),AND(A66&gt;25,X66="1st half Handicap")),OR(AND(AK66&gt;20,U66&lt;T66,E66&gt;45),AND(AK66&lt;-20,U66&gt;T66,E66&lt;55))),AND(AND(A66-AL66&lt;200,A66-AL66&gt;9),OR(AND(A66&gt;75,X66="Final Handicap"),AND(A66&gt;25,X66="1st half Handicap")),OR(AND(AX66&gt;20,U66&lt;T66,E66&gt;45),AND(AX66&lt;-20,U66&gt;T66,E66&lt;55))),AND(AND(A66-AY66&lt;200,A66-AY66&gt;9),OR(AND(A66&gt;75,X66="Final Handicap"),AND(A66&gt;25,X66="1st half Handicap")),OR(AND(BK66&gt;20,U66&lt;T66,E66&gt;45),AND(BK66&lt;-20,U66&gt;T66,E66&lt;55)))),"GOOD","")</f>
        <v/>
      </c>
      <c r="BS66" s="21"/>
    </row>
    <row r="67" spans="1:71" ht="17.25" x14ac:dyDescent="0.3">
      <c r="A67" s="3"/>
      <c r="D67" s="8" t="str">
        <f>IF(ISBLANK(T67),"",CONCATENATE(T67,"-",U67))</f>
        <v/>
      </c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>
        <f>IF(NOT(ISBLANK(G67)),ABS(G67),0)</f>
        <v>0</v>
      </c>
      <c r="BM67">
        <f>IF(NOT(ISBLANK(AK67)),ABS(AK67),0)</f>
        <v>0</v>
      </c>
      <c r="BN67">
        <f>IF(NOT(ISBLANK(AX67)),ABS(AX67),0)</f>
        <v>0</v>
      </c>
      <c r="BO67">
        <f>IF(NOT(ISBLANK(BK67)),ABS(BK67),0)</f>
        <v>0</v>
      </c>
      <c r="BP67">
        <f>IF(ISBLANK(E67),0,ABS(E67-50))</f>
        <v>0</v>
      </c>
      <c r="BQ67" s="21" t="str">
        <f>IF(OR(ISBLANK(V67),ISBLANK(W67)),"",IF(SUM(V67,W67)=0,"",CONCATENATE(V67,"-",W67)))</f>
        <v/>
      </c>
      <c r="BR67" s="21" t="str">
        <f>IF(OR(AND(OR(AND(A67&gt;75,X67="Final Handicap"),AND(A67&gt;25,X67="1st half Handicap")),OR(AND(G67&gt;20,U67&lt;T67,E67&gt;45),AND(G67&lt;-20,U67&gt;T67,E67&lt;55))),AND(AND(A67-Y67&lt;200,A67-Y67&gt;9),OR(AND(A67&gt;75,X67="Final Handicap"),AND(A67&gt;25,X67="1st half Handicap")),OR(AND(AK67&gt;20,U67&lt;T67,E67&gt;45),AND(AK67&lt;-20,U67&gt;T67,E67&lt;55))),AND(AND(A67-AL67&lt;200,A67-AL67&gt;9),OR(AND(A67&gt;75,X67="Final Handicap"),AND(A67&gt;25,X67="1st half Handicap")),OR(AND(AX67&gt;20,U67&lt;T67,E67&gt;45),AND(AX67&lt;-20,U67&gt;T67,E67&lt;55))),AND(AND(A67-AY67&lt;200,A67-AY67&gt;9),OR(AND(A67&gt;75,X67="Final Handicap"),AND(A67&gt;25,X67="1st half Handicap")),OR(AND(BK67&gt;20,U67&lt;T67,E67&gt;45),AND(BK67&lt;-20,U67&gt;T67,E67&lt;55)))),"GOOD","")</f>
        <v/>
      </c>
      <c r="BS67" s="21"/>
    </row>
    <row r="68" spans="1:71" ht="17.25" x14ac:dyDescent="0.3">
      <c r="A68" s="3"/>
      <c r="D68" s="8" t="str">
        <f>IF(ISBLANK(T68),"",CONCATENATE(T68,"-",U68))</f>
        <v/>
      </c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>
        <f>IF(NOT(ISBLANK(G68)),ABS(G68),0)</f>
        <v>0</v>
      </c>
      <c r="BM68">
        <f>IF(NOT(ISBLANK(AK68)),ABS(AK68),0)</f>
        <v>0</v>
      </c>
      <c r="BN68">
        <f>IF(NOT(ISBLANK(AX68)),ABS(AX68),0)</f>
        <v>0</v>
      </c>
      <c r="BO68">
        <f>IF(NOT(ISBLANK(BK68)),ABS(BK68),0)</f>
        <v>0</v>
      </c>
      <c r="BP68">
        <f>IF(ISBLANK(E68),0,ABS(E68-50))</f>
        <v>0</v>
      </c>
      <c r="BQ68" s="21" t="str">
        <f>IF(OR(ISBLANK(V68),ISBLANK(W68)),"",IF(SUM(V68,W68)=0,"",CONCATENATE(V68,"-",W68)))</f>
        <v/>
      </c>
      <c r="BR68" s="21" t="str">
        <f>IF(OR(AND(OR(AND(A68&gt;75,X68="Final Handicap"),AND(A68&gt;25,X68="1st half Handicap")),OR(AND(G68&gt;20,U68&lt;T68,E68&gt;45),AND(G68&lt;-20,U68&gt;T68,E68&lt;55))),AND(AND(A68-Y68&lt;200,A68-Y68&gt;9),OR(AND(A68&gt;75,X68="Final Handicap"),AND(A68&gt;25,X68="1st half Handicap")),OR(AND(AK68&gt;20,U68&lt;T68,E68&gt;45),AND(AK68&lt;-20,U68&gt;T68,E68&lt;55))),AND(AND(A68-AL68&lt;200,A68-AL68&gt;9),OR(AND(A68&gt;75,X68="Final Handicap"),AND(A68&gt;25,X68="1st half Handicap")),OR(AND(AX68&gt;20,U68&lt;T68,E68&gt;45),AND(AX68&lt;-20,U68&gt;T68,E68&lt;55))),AND(AND(A68-AY68&lt;200,A68-AY68&gt;9),OR(AND(A68&gt;75,X68="Final Handicap"),AND(A68&gt;25,X68="1st half Handicap")),OR(AND(BK68&gt;20,U68&lt;T68,E68&gt;45),AND(BK68&lt;-20,U68&gt;T68,E68&lt;55)))),"GOOD","")</f>
        <v/>
      </c>
      <c r="BS68" s="21"/>
    </row>
    <row r="69" spans="1:71" ht="17.25" x14ac:dyDescent="0.3">
      <c r="A69" s="3"/>
      <c r="D69" s="8" t="str">
        <f>IF(ISBLANK(T69),"",CONCATENATE(T69,"-",U69))</f>
        <v/>
      </c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>
        <f>IF(NOT(ISBLANK(G69)),ABS(G69),0)</f>
        <v>0</v>
      </c>
      <c r="BM69">
        <f>IF(NOT(ISBLANK(AK69)),ABS(AK69),0)</f>
        <v>0</v>
      </c>
      <c r="BN69">
        <f>IF(NOT(ISBLANK(AX69)),ABS(AX69),0)</f>
        <v>0</v>
      </c>
      <c r="BO69">
        <f>IF(NOT(ISBLANK(BK69)),ABS(BK69),0)</f>
        <v>0</v>
      </c>
      <c r="BP69">
        <f>IF(ISBLANK(E69),0,ABS(E69-50))</f>
        <v>0</v>
      </c>
      <c r="BQ69" s="21" t="str">
        <f>IF(OR(ISBLANK(V69),ISBLANK(W69)),"",IF(SUM(V69,W69)=0,"",CONCATENATE(V69,"-",W69)))</f>
        <v/>
      </c>
      <c r="BR69" s="21" t="str">
        <f>IF(OR(AND(OR(AND(A69&gt;75,X69="Final Handicap"),AND(A69&gt;25,X69="1st half Handicap")),OR(AND(G69&gt;20,U69&lt;T69,E69&gt;45),AND(G69&lt;-20,U69&gt;T69,E69&lt;55))),AND(AND(A69-Y69&lt;200,A69-Y69&gt;9),OR(AND(A69&gt;75,X69="Final Handicap"),AND(A69&gt;25,X69="1st half Handicap")),OR(AND(AK69&gt;20,U69&lt;T69,E69&gt;45),AND(AK69&lt;-20,U69&gt;T69,E69&lt;55))),AND(AND(A69-AL69&lt;200,A69-AL69&gt;9),OR(AND(A69&gt;75,X69="Final Handicap"),AND(A69&gt;25,X69="1st half Handicap")),OR(AND(AX69&gt;20,U69&lt;T69,E69&gt;45),AND(AX69&lt;-20,U69&gt;T69,E69&lt;55))),AND(AND(A69-AY69&lt;200,A69-AY69&gt;9),OR(AND(A69&gt;75,X69="Final Handicap"),AND(A69&gt;25,X69="1st half Handicap")),OR(AND(BK69&gt;20,U69&lt;T69,E69&gt;45),AND(BK69&lt;-20,U69&gt;T69,E69&lt;55)))),"GOOD","")</f>
        <v/>
      </c>
      <c r="BS69" s="21"/>
    </row>
    <row r="70" spans="1:71" ht="17.25" x14ac:dyDescent="0.3">
      <c r="A70" s="3"/>
      <c r="D70" s="8" t="str">
        <f>IF(ISBLANK(T70),"",CONCATENATE(T70,"-",U70))</f>
        <v/>
      </c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>
        <f>IF(NOT(ISBLANK(G70)),ABS(G70),0)</f>
        <v>0</v>
      </c>
      <c r="BM70">
        <f>IF(NOT(ISBLANK(AK70)),ABS(AK70),0)</f>
        <v>0</v>
      </c>
      <c r="BN70">
        <f>IF(NOT(ISBLANK(AX70)),ABS(AX70),0)</f>
        <v>0</v>
      </c>
      <c r="BO70">
        <f>IF(NOT(ISBLANK(BK70)),ABS(BK70),0)</f>
        <v>0</v>
      </c>
      <c r="BP70">
        <f>IF(ISBLANK(E70),0,ABS(E70-50))</f>
        <v>0</v>
      </c>
      <c r="BQ70" s="21" t="str">
        <f>IF(OR(ISBLANK(V70),ISBLANK(W70)),"",IF(SUM(V70,W70)=0,"",CONCATENATE(V70,"-",W70)))</f>
        <v/>
      </c>
      <c r="BR70" s="21" t="str">
        <f>IF(OR(AND(OR(AND(A70&gt;75,X70="Final Handicap"),AND(A70&gt;25,X70="1st half Handicap")),OR(AND(G70&gt;20,U70&lt;T70,E70&gt;45),AND(G70&lt;-20,U70&gt;T70,E70&lt;55))),AND(AND(A70-Y70&lt;200,A70-Y70&gt;9),OR(AND(A70&gt;75,X70="Final Handicap"),AND(A70&gt;25,X70="1st half Handicap")),OR(AND(AK70&gt;20,U70&lt;T70,E70&gt;45),AND(AK70&lt;-20,U70&gt;T70,E70&lt;55))),AND(AND(A70-AL70&lt;200,A70-AL70&gt;9),OR(AND(A70&gt;75,X70="Final Handicap"),AND(A70&gt;25,X70="1st half Handicap")),OR(AND(AX70&gt;20,U70&lt;T70,E70&gt;45),AND(AX70&lt;-20,U70&gt;T70,E70&lt;55))),AND(AND(A70-AY70&lt;200,A70-AY70&gt;9),OR(AND(A70&gt;75,X70="Final Handicap"),AND(A70&gt;25,X70="1st half Handicap")),OR(AND(BK70&gt;20,U70&lt;T70,E70&gt;45),AND(BK70&lt;-20,U70&gt;T70,E70&lt;55)))),"GOOD","")</f>
        <v/>
      </c>
      <c r="BS70" s="21"/>
    </row>
    <row r="71" spans="1:71" ht="17.25" x14ac:dyDescent="0.3">
      <c r="A71" s="3"/>
      <c r="D71" s="8" t="str">
        <f>IF(ISBLANK(T71),"",CONCATENATE(T71,"-",U71))</f>
        <v/>
      </c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>
        <f>IF(NOT(ISBLANK(G71)),ABS(G71),0)</f>
        <v>0</v>
      </c>
      <c r="BM71">
        <f>IF(NOT(ISBLANK(AK71)),ABS(AK71),0)</f>
        <v>0</v>
      </c>
      <c r="BN71">
        <f>IF(NOT(ISBLANK(AX71)),ABS(AX71),0)</f>
        <v>0</v>
      </c>
      <c r="BO71">
        <f>IF(NOT(ISBLANK(BK71)),ABS(BK71),0)</f>
        <v>0</v>
      </c>
      <c r="BP71">
        <f>IF(ISBLANK(E71),0,ABS(E71-50))</f>
        <v>0</v>
      </c>
      <c r="BQ71" s="21" t="str">
        <f>IF(OR(ISBLANK(V71),ISBLANK(W71)),"",IF(SUM(V71,W71)=0,"",CONCATENATE(V71,"-",W71)))</f>
        <v/>
      </c>
      <c r="BR71" s="21" t="str">
        <f>IF(OR(AND(OR(AND(A71&gt;75,X71="Final Handicap"),AND(A71&gt;25,X71="1st half Handicap")),OR(AND(G71&gt;20,U71&lt;T71,E71&gt;45),AND(G71&lt;-20,U71&gt;T71,E71&lt;55))),AND(AND(A71-Y71&lt;200,A71-Y71&gt;9),OR(AND(A71&gt;75,X71="Final Handicap"),AND(A71&gt;25,X71="1st half Handicap")),OR(AND(AK71&gt;20,U71&lt;T71,E71&gt;45),AND(AK71&lt;-20,U71&gt;T71,E71&lt;55))),AND(AND(A71-AL71&lt;200,A71-AL71&gt;9),OR(AND(A71&gt;75,X71="Final Handicap"),AND(A71&gt;25,X71="1st half Handicap")),OR(AND(AX71&gt;20,U71&lt;T71,E71&gt;45),AND(AX71&lt;-20,U71&gt;T71,E71&lt;55))),AND(AND(A71-AY71&lt;200,A71-AY71&gt;9),OR(AND(A71&gt;75,X71="Final Handicap"),AND(A71&gt;25,X71="1st half Handicap")),OR(AND(BK71&gt;20,U71&lt;T71,E71&gt;45),AND(BK71&lt;-20,U71&gt;T71,E71&lt;55)))),"GOOD","")</f>
        <v/>
      </c>
      <c r="BS71" s="21"/>
    </row>
    <row r="72" spans="1:71" ht="17.25" x14ac:dyDescent="0.3">
      <c r="A72" s="3"/>
      <c r="D72" s="8" t="str">
        <f>IF(ISBLANK(T72),"",CONCATENATE(T72,"-",U72))</f>
        <v/>
      </c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>
        <f>IF(NOT(ISBLANK(G72)),ABS(G72),0)</f>
        <v>0</v>
      </c>
      <c r="BM72">
        <f>IF(NOT(ISBLANK(AK72)),ABS(AK72),0)</f>
        <v>0</v>
      </c>
      <c r="BN72">
        <f>IF(NOT(ISBLANK(AX72)),ABS(AX72),0)</f>
        <v>0</v>
      </c>
      <c r="BO72">
        <f>IF(NOT(ISBLANK(BK72)),ABS(BK72),0)</f>
        <v>0</v>
      </c>
      <c r="BP72">
        <f>IF(ISBLANK(E72),0,ABS(E72-50))</f>
        <v>0</v>
      </c>
      <c r="BQ72" s="21" t="str">
        <f>IF(OR(ISBLANK(V72),ISBLANK(W72)),"",IF(SUM(V72,W72)=0,"",CONCATENATE(V72,"-",W72)))</f>
        <v/>
      </c>
      <c r="BR72" s="21" t="str">
        <f>IF(OR(AND(OR(AND(A72&gt;75,X72="Final Handicap"),AND(A72&gt;25,X72="1st half Handicap")),OR(AND(G72&gt;20,U72&lt;T72,E72&gt;45),AND(G72&lt;-20,U72&gt;T72,E72&lt;55))),AND(AND(A72-Y72&lt;200,A72-Y72&gt;9),OR(AND(A72&gt;75,X72="Final Handicap"),AND(A72&gt;25,X72="1st half Handicap")),OR(AND(AK72&gt;20,U72&lt;T72,E72&gt;45),AND(AK72&lt;-20,U72&gt;T72,E72&lt;55))),AND(AND(A72-AL72&lt;200,A72-AL72&gt;9),OR(AND(A72&gt;75,X72="Final Handicap"),AND(A72&gt;25,X72="1st half Handicap")),OR(AND(AX72&gt;20,U72&lt;T72,E72&gt;45),AND(AX72&lt;-20,U72&gt;T72,E72&lt;55))),AND(AND(A72-AY72&lt;200,A72-AY72&gt;9),OR(AND(A72&gt;75,X72="Final Handicap"),AND(A72&gt;25,X72="1st half Handicap")),OR(AND(BK72&gt;20,U72&lt;T72,E72&gt;45),AND(BK72&lt;-20,U72&gt;T72,E72&lt;55)))),"GOOD","")</f>
        <v/>
      </c>
      <c r="BS72" s="21"/>
    </row>
    <row r="73" spans="1:71" ht="17.25" x14ac:dyDescent="0.3">
      <c r="A73" s="3"/>
      <c r="D73" s="8" t="str">
        <f>IF(ISBLANK(T73),"",CONCATENATE(T73,"-",U73))</f>
        <v/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>
        <f>IF(NOT(ISBLANK(G73)),ABS(G73),0)</f>
        <v>0</v>
      </c>
      <c r="BM73">
        <f>IF(NOT(ISBLANK(AK73)),ABS(AK73),0)</f>
        <v>0</v>
      </c>
      <c r="BN73">
        <f>IF(NOT(ISBLANK(AX73)),ABS(AX73),0)</f>
        <v>0</v>
      </c>
      <c r="BO73">
        <f>IF(NOT(ISBLANK(BK73)),ABS(BK73),0)</f>
        <v>0</v>
      </c>
      <c r="BP73">
        <f>IF(ISBLANK(E73),0,ABS(E73-50))</f>
        <v>0</v>
      </c>
      <c r="BQ73" s="21" t="str">
        <f>IF(OR(ISBLANK(V73),ISBLANK(W73)),"",IF(SUM(V73,W73)=0,"",CONCATENATE(V73,"-",W73)))</f>
        <v/>
      </c>
      <c r="BR73" s="21" t="str">
        <f>IF(OR(AND(OR(AND(A73&gt;75,X73="Final Handicap"),AND(A73&gt;25,X73="1st half Handicap")),OR(AND(G73&gt;20,U73&lt;T73,E73&gt;45),AND(G73&lt;-20,U73&gt;T73,E73&lt;55))),AND(AND(A73-Y73&lt;200,A73-Y73&gt;9),OR(AND(A73&gt;75,X73="Final Handicap"),AND(A73&gt;25,X73="1st half Handicap")),OR(AND(AK73&gt;20,U73&lt;T73,E73&gt;45),AND(AK73&lt;-20,U73&gt;T73,E73&lt;55))),AND(AND(A73-AL73&lt;200,A73-AL73&gt;9),OR(AND(A73&gt;75,X73="Final Handicap"),AND(A73&gt;25,X73="1st half Handicap")),OR(AND(AX73&gt;20,U73&lt;T73,E73&gt;45),AND(AX73&lt;-20,U73&gt;T73,E73&lt;55))),AND(AND(A73-AY73&lt;200,A73-AY73&gt;9),OR(AND(A73&gt;75,X73="Final Handicap"),AND(A73&gt;25,X73="1st half Handicap")),OR(AND(BK73&gt;20,U73&lt;T73,E73&gt;45),AND(BK73&lt;-20,U73&gt;T73,E73&lt;55)))),"GOOD","")</f>
        <v/>
      </c>
      <c r="BS73" s="21"/>
    </row>
    <row r="74" spans="1:71" ht="17.25" x14ac:dyDescent="0.3">
      <c r="A74" s="3"/>
      <c r="D74" s="8" t="str">
        <f>IF(ISBLANK(T74),"",CONCATENATE(T74,"-",U74))</f>
        <v/>
      </c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>
        <f>IF(NOT(ISBLANK(G74)),ABS(G74),0)</f>
        <v>0</v>
      </c>
      <c r="BM74">
        <f>IF(NOT(ISBLANK(AK74)),ABS(AK74),0)</f>
        <v>0</v>
      </c>
      <c r="BN74">
        <f>IF(NOT(ISBLANK(AX74)),ABS(AX74),0)</f>
        <v>0</v>
      </c>
      <c r="BO74">
        <f>IF(NOT(ISBLANK(BK74)),ABS(BK74),0)</f>
        <v>0</v>
      </c>
      <c r="BP74">
        <f>IF(ISBLANK(E74),0,ABS(E74-50))</f>
        <v>0</v>
      </c>
      <c r="BQ74" s="21" t="str">
        <f>IF(OR(ISBLANK(V74),ISBLANK(W74)),"",IF(SUM(V74,W74)=0,"",CONCATENATE(V74,"-",W74)))</f>
        <v/>
      </c>
      <c r="BR74" s="21" t="str">
        <f>IF(OR(AND(OR(AND(A74&gt;75,X74="Final Handicap"),AND(A74&gt;25,X74="1st half Handicap")),OR(AND(G74&gt;20,U74&lt;T74,E74&gt;45),AND(G74&lt;-20,U74&gt;T74,E74&lt;55))),AND(AND(A74-Y74&lt;200,A74-Y74&gt;9),OR(AND(A74&gt;75,X74="Final Handicap"),AND(A74&gt;25,X74="1st half Handicap")),OR(AND(AK74&gt;20,U74&lt;T74,E74&gt;45),AND(AK74&lt;-20,U74&gt;T74,E74&lt;55))),AND(AND(A74-AL74&lt;200,A74-AL74&gt;9),OR(AND(A74&gt;75,X74="Final Handicap"),AND(A74&gt;25,X74="1st half Handicap")),OR(AND(AX74&gt;20,U74&lt;T74,E74&gt;45),AND(AX74&lt;-20,U74&gt;T74,E74&lt;55))),AND(AND(A74-AY74&lt;200,A74-AY74&gt;9),OR(AND(A74&gt;75,X74="Final Handicap"),AND(A74&gt;25,X74="1st half Handicap")),OR(AND(BK74&gt;20,U74&lt;T74,E74&gt;45),AND(BK74&lt;-20,U74&gt;T74,E74&lt;55)))),"GOOD","")</f>
        <v/>
      </c>
      <c r="BS74" s="21"/>
    </row>
    <row r="75" spans="1:71" ht="17.25" x14ac:dyDescent="0.3">
      <c r="A75" s="3"/>
      <c r="D75" s="8" t="str">
        <f>IF(ISBLANK(T75),"",CONCATENATE(T75,"-",U75))</f>
        <v/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>
        <f>IF(NOT(ISBLANK(G75)),ABS(G75),0)</f>
        <v>0</v>
      </c>
      <c r="BM75">
        <f>IF(NOT(ISBLANK(AK75)),ABS(AK75),0)</f>
        <v>0</v>
      </c>
      <c r="BN75">
        <f>IF(NOT(ISBLANK(AX75)),ABS(AX75),0)</f>
        <v>0</v>
      </c>
      <c r="BO75">
        <f>IF(NOT(ISBLANK(BK75)),ABS(BK75),0)</f>
        <v>0</v>
      </c>
      <c r="BP75">
        <f>IF(ISBLANK(E75),0,ABS(E75-50))</f>
        <v>0</v>
      </c>
      <c r="BQ75" s="21" t="str">
        <f>IF(OR(ISBLANK(V75),ISBLANK(W75)),"",IF(SUM(V75,W75)=0,"",CONCATENATE(V75,"-",W75)))</f>
        <v/>
      </c>
      <c r="BR75" s="21" t="str">
        <f>IF(OR(AND(OR(AND(A75&gt;75,X75="Final Handicap"),AND(A75&gt;25,X75="1st half Handicap")),OR(AND(G75&gt;20,U75&lt;T75,E75&gt;45),AND(G75&lt;-20,U75&gt;T75,E75&lt;55))),AND(AND(A75-Y75&lt;200,A75-Y75&gt;9),OR(AND(A75&gt;75,X75="Final Handicap"),AND(A75&gt;25,X75="1st half Handicap")),OR(AND(AK75&gt;20,U75&lt;T75,E75&gt;45),AND(AK75&lt;-20,U75&gt;T75,E75&lt;55))),AND(AND(A75-AL75&lt;200,A75-AL75&gt;9),OR(AND(A75&gt;75,X75="Final Handicap"),AND(A75&gt;25,X75="1st half Handicap")),OR(AND(AX75&gt;20,U75&lt;T75,E75&gt;45),AND(AX75&lt;-20,U75&gt;T75,E75&lt;55))),AND(AND(A75-AY75&lt;200,A75-AY75&gt;9),OR(AND(A75&gt;75,X75="Final Handicap"),AND(A75&gt;25,X75="1st half Handicap")),OR(AND(BK75&gt;20,U75&lt;T75,E75&gt;45),AND(BK75&lt;-20,U75&gt;T75,E75&lt;55)))),"GOOD","")</f>
        <v/>
      </c>
      <c r="BS75" s="21"/>
    </row>
    <row r="76" spans="1:71" ht="17.25" x14ac:dyDescent="0.3">
      <c r="A76" s="3"/>
      <c r="D76" s="8" t="str">
        <f>IF(ISBLANK(T76),"",CONCATENATE(T76,"-",U76))</f>
        <v/>
      </c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>
        <f>IF(NOT(ISBLANK(G76)),ABS(G76),0)</f>
        <v>0</v>
      </c>
      <c r="BM76">
        <f>IF(NOT(ISBLANK(AK76)),ABS(AK76),0)</f>
        <v>0</v>
      </c>
      <c r="BN76">
        <f>IF(NOT(ISBLANK(AX76)),ABS(AX76),0)</f>
        <v>0</v>
      </c>
      <c r="BO76">
        <f>IF(NOT(ISBLANK(BK76)),ABS(BK76),0)</f>
        <v>0</v>
      </c>
      <c r="BP76">
        <f>IF(ISBLANK(E76),0,ABS(E76-50))</f>
        <v>0</v>
      </c>
      <c r="BQ76" s="21" t="str">
        <f>IF(OR(ISBLANK(V76),ISBLANK(W76)),"",IF(SUM(V76,W76)=0,"",CONCATENATE(V76,"-",W76)))</f>
        <v/>
      </c>
      <c r="BR76" s="21" t="str">
        <f>IF(OR(AND(OR(AND(A76&gt;75,X76="Final Handicap"),AND(A76&gt;25,X76="1st half Handicap")),OR(AND(G76&gt;20,U76&lt;T76,E76&gt;45),AND(G76&lt;-20,U76&gt;T76,E76&lt;55))),AND(AND(A76-Y76&lt;200,A76-Y76&gt;9),OR(AND(A76&gt;75,X76="Final Handicap"),AND(A76&gt;25,X76="1st half Handicap")),OR(AND(AK76&gt;20,U76&lt;T76,E76&gt;45),AND(AK76&lt;-20,U76&gt;T76,E76&lt;55))),AND(AND(A76-AL76&lt;200,A76-AL76&gt;9),OR(AND(A76&gt;75,X76="Final Handicap"),AND(A76&gt;25,X76="1st half Handicap")),OR(AND(AX76&gt;20,U76&lt;T76,E76&gt;45),AND(AX76&lt;-20,U76&gt;T76,E76&lt;55))),AND(AND(A76-AY76&lt;200,A76-AY76&gt;9),OR(AND(A76&gt;75,X76="Final Handicap"),AND(A76&gt;25,X76="1st half Handicap")),OR(AND(BK76&gt;20,U76&lt;T76,E76&gt;45),AND(BK76&lt;-20,U76&gt;T76,E76&lt;55)))),"GOOD","")</f>
        <v/>
      </c>
      <c r="BS76" s="21"/>
    </row>
    <row r="77" spans="1:71" ht="17.25" x14ac:dyDescent="0.3">
      <c r="A77" s="3"/>
      <c r="D77" s="8" t="str">
        <f>IF(ISBLANK(T77),"",CONCATENATE(T77,"-",U77))</f>
        <v/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>
        <f>IF(NOT(ISBLANK(G77)),ABS(G77),0)</f>
        <v>0</v>
      </c>
      <c r="BM77">
        <f>IF(NOT(ISBLANK(AK77)),ABS(AK77),0)</f>
        <v>0</v>
      </c>
      <c r="BN77">
        <f>IF(NOT(ISBLANK(AX77)),ABS(AX77),0)</f>
        <v>0</v>
      </c>
      <c r="BO77">
        <f>IF(NOT(ISBLANK(BK77)),ABS(BK77),0)</f>
        <v>0</v>
      </c>
      <c r="BP77">
        <f>IF(ISBLANK(E77),0,ABS(E77-50))</f>
        <v>0</v>
      </c>
      <c r="BQ77" s="21" t="str">
        <f>IF(OR(ISBLANK(V77),ISBLANK(W77)),"",IF(SUM(V77,W77)=0,"",CONCATENATE(V77,"-",W77)))</f>
        <v/>
      </c>
      <c r="BR77" s="21" t="str">
        <f>IF(OR(AND(OR(AND(A77&gt;75,X77="Final Handicap"),AND(A77&gt;25,X77="1st half Handicap")),OR(AND(G77&gt;20,U77&lt;T77,E77&gt;45),AND(G77&lt;-20,U77&gt;T77,E77&lt;55))),AND(AND(A77-Y77&lt;200,A77-Y77&gt;9),OR(AND(A77&gt;75,X77="Final Handicap"),AND(A77&gt;25,X77="1st half Handicap")),OR(AND(AK77&gt;20,U77&lt;T77,E77&gt;45),AND(AK77&lt;-20,U77&gt;T77,E77&lt;55))),AND(AND(A77-AL77&lt;200,A77-AL77&gt;9),OR(AND(A77&gt;75,X77="Final Handicap"),AND(A77&gt;25,X77="1st half Handicap")),OR(AND(AX77&gt;20,U77&lt;T77,E77&gt;45),AND(AX77&lt;-20,U77&gt;T77,E77&lt;55))),AND(AND(A77-AY77&lt;200,A77-AY77&gt;9),OR(AND(A77&gt;75,X77="Final Handicap"),AND(A77&gt;25,X77="1st half Handicap")),OR(AND(BK77&gt;20,U77&lt;T77,E77&gt;45),AND(BK77&lt;-20,U77&gt;T77,E77&lt;55)))),"GOOD","")</f>
        <v/>
      </c>
      <c r="BS77" s="21"/>
    </row>
    <row r="78" spans="1:71" ht="17.25" x14ac:dyDescent="0.3">
      <c r="A78" s="3"/>
      <c r="D78" s="8" t="str">
        <f>IF(ISBLANK(T78),"",CONCATENATE(T78,"-",U78))</f>
        <v/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>
        <f>IF(NOT(ISBLANK(G78)),ABS(G78),0)</f>
        <v>0</v>
      </c>
      <c r="BM78">
        <f>IF(NOT(ISBLANK(AK78)),ABS(AK78),0)</f>
        <v>0</v>
      </c>
      <c r="BN78">
        <f>IF(NOT(ISBLANK(AX78)),ABS(AX78),0)</f>
        <v>0</v>
      </c>
      <c r="BO78">
        <f>IF(NOT(ISBLANK(BK78)),ABS(BK78),0)</f>
        <v>0</v>
      </c>
      <c r="BP78">
        <f>IF(ISBLANK(E78),0,ABS(E78-50))</f>
        <v>0</v>
      </c>
      <c r="BQ78" s="21" t="str">
        <f>IF(OR(ISBLANK(V78),ISBLANK(W78)),"",IF(SUM(V78,W78)=0,"",CONCATENATE(V78,"-",W78)))</f>
        <v/>
      </c>
      <c r="BR78" s="21" t="str">
        <f>IF(OR(AND(OR(AND(A78&gt;75,X78="Final Handicap"),AND(A78&gt;25,X78="1st half Handicap")),OR(AND(G78&gt;20,U78&lt;T78,E78&gt;45),AND(G78&lt;-20,U78&gt;T78,E78&lt;55))),AND(AND(A78-Y78&lt;200,A78-Y78&gt;9),OR(AND(A78&gt;75,X78="Final Handicap"),AND(A78&gt;25,X78="1st half Handicap")),OR(AND(AK78&gt;20,U78&lt;T78,E78&gt;45),AND(AK78&lt;-20,U78&gt;T78,E78&lt;55))),AND(AND(A78-AL78&lt;200,A78-AL78&gt;9),OR(AND(A78&gt;75,X78="Final Handicap"),AND(A78&gt;25,X78="1st half Handicap")),OR(AND(AX78&gt;20,U78&lt;T78,E78&gt;45),AND(AX78&lt;-20,U78&gt;T78,E78&lt;55))),AND(AND(A78-AY78&lt;200,A78-AY78&gt;9),OR(AND(A78&gt;75,X78="Final Handicap"),AND(A78&gt;25,X78="1st half Handicap")),OR(AND(BK78&gt;20,U78&lt;T78,E78&gt;45),AND(BK78&lt;-20,U78&gt;T78,E78&lt;55)))),"GOOD","")</f>
        <v/>
      </c>
      <c r="BS78" s="21"/>
    </row>
    <row r="79" spans="1:71" ht="17.25" x14ac:dyDescent="0.3">
      <c r="A79" s="3"/>
      <c r="D79" s="8" t="str">
        <f>IF(ISBLANK(T79),"",CONCATENATE(T79,"-",U79))</f>
        <v/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>
        <f>IF(NOT(ISBLANK(G79)),ABS(G79),0)</f>
        <v>0</v>
      </c>
      <c r="BM79">
        <f>IF(NOT(ISBLANK(AK79)),ABS(AK79),0)</f>
        <v>0</v>
      </c>
      <c r="BN79">
        <f>IF(NOT(ISBLANK(AX79)),ABS(AX79),0)</f>
        <v>0</v>
      </c>
      <c r="BO79">
        <f>IF(NOT(ISBLANK(BK79)),ABS(BK79),0)</f>
        <v>0</v>
      </c>
      <c r="BP79">
        <f>IF(ISBLANK(E79),0,ABS(E79-50))</f>
        <v>0</v>
      </c>
      <c r="BQ79" s="21" t="str">
        <f>IF(OR(ISBLANK(V79),ISBLANK(W79)),"",IF(SUM(V79,W79)=0,"",CONCATENATE(V79,"-",W79)))</f>
        <v/>
      </c>
      <c r="BR79" s="21" t="str">
        <f>IF(OR(AND(OR(AND(A79&gt;75,X79="Final Handicap"),AND(A79&gt;25,X79="1st half Handicap")),OR(AND(G79&gt;20,U79&lt;T79,E79&gt;45),AND(G79&lt;-20,U79&gt;T79,E79&lt;55))),AND(AND(A79-Y79&lt;200,A79-Y79&gt;9),OR(AND(A79&gt;75,X79="Final Handicap"),AND(A79&gt;25,X79="1st half Handicap")),OR(AND(AK79&gt;20,U79&lt;T79,E79&gt;45),AND(AK79&lt;-20,U79&gt;T79,E79&lt;55))),AND(AND(A79-AL79&lt;200,A79-AL79&gt;9),OR(AND(A79&gt;75,X79="Final Handicap"),AND(A79&gt;25,X79="1st half Handicap")),OR(AND(AX79&gt;20,U79&lt;T79,E79&gt;45),AND(AX79&lt;-20,U79&gt;T79,E79&lt;55))),AND(AND(A79-AY79&lt;200,A79-AY79&gt;9),OR(AND(A79&gt;75,X79="Final Handicap"),AND(A79&gt;25,X79="1st half Handicap")),OR(AND(BK79&gt;20,U79&lt;T79,E79&gt;45),AND(BK79&lt;-20,U79&gt;T79,E79&lt;55)))),"GOOD","")</f>
        <v/>
      </c>
      <c r="BS79" s="21"/>
    </row>
    <row r="80" spans="1:71" ht="17.25" x14ac:dyDescent="0.3">
      <c r="A80" s="3"/>
      <c r="D80" s="8" t="str">
        <f>IF(ISBLANK(T80),"",CONCATENATE(T80,"-",U80))</f>
        <v/>
      </c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>
        <f>IF(NOT(ISBLANK(G80)),ABS(G80),0)</f>
        <v>0</v>
      </c>
      <c r="BM80">
        <f>IF(NOT(ISBLANK(AK80)),ABS(AK80),0)</f>
        <v>0</v>
      </c>
      <c r="BN80">
        <f>IF(NOT(ISBLANK(AX80)),ABS(AX80),0)</f>
        <v>0</v>
      </c>
      <c r="BO80">
        <f>IF(NOT(ISBLANK(BK80)),ABS(BK80),0)</f>
        <v>0</v>
      </c>
      <c r="BP80">
        <f>IF(ISBLANK(E80),0,ABS(E80-50))</f>
        <v>0</v>
      </c>
      <c r="BQ80" s="21" t="str">
        <f>IF(OR(ISBLANK(V80),ISBLANK(W80)),"",IF(SUM(V80,W80)=0,"",CONCATENATE(V80,"-",W80)))</f>
        <v/>
      </c>
      <c r="BR80" s="21" t="str">
        <f>IF(OR(AND(OR(AND(A80&gt;75,X80="Final Handicap"),AND(A80&gt;25,X80="1st half Handicap")),OR(AND(G80&gt;20,U80&lt;T80,E80&gt;45),AND(G80&lt;-20,U80&gt;T80,E80&lt;55))),AND(AND(A80-Y80&lt;200,A80-Y80&gt;9),OR(AND(A80&gt;75,X80="Final Handicap"),AND(A80&gt;25,X80="1st half Handicap")),OR(AND(AK80&gt;20,U80&lt;T80,E80&gt;45),AND(AK80&lt;-20,U80&gt;T80,E80&lt;55))),AND(AND(A80-AL80&lt;200,A80-AL80&gt;9),OR(AND(A80&gt;75,X80="Final Handicap"),AND(A80&gt;25,X80="1st half Handicap")),OR(AND(AX80&gt;20,U80&lt;T80,E80&gt;45),AND(AX80&lt;-20,U80&gt;T80,E80&lt;55))),AND(AND(A80-AY80&lt;200,A80-AY80&gt;9),OR(AND(A80&gt;75,X80="Final Handicap"),AND(A80&gt;25,X80="1st half Handicap")),OR(AND(BK80&gt;20,U80&lt;T80,E80&gt;45),AND(BK80&lt;-20,U80&gt;T80,E80&lt;55)))),"GOOD","")</f>
        <v/>
      </c>
      <c r="BS80" s="21"/>
    </row>
    <row r="81" spans="1:71" ht="17.25" x14ac:dyDescent="0.3">
      <c r="A81" s="3"/>
      <c r="D81" s="8" t="str">
        <f>IF(ISBLANK(T81),"",CONCATENATE(T81,"-",U81))</f>
        <v/>
      </c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>
        <f>IF(NOT(ISBLANK(G81)),ABS(G81),0)</f>
        <v>0</v>
      </c>
      <c r="BM81">
        <f>IF(NOT(ISBLANK(AK81)),ABS(AK81),0)</f>
        <v>0</v>
      </c>
      <c r="BN81">
        <f>IF(NOT(ISBLANK(AX81)),ABS(AX81),0)</f>
        <v>0</v>
      </c>
      <c r="BO81">
        <f>IF(NOT(ISBLANK(BK81)),ABS(BK81),0)</f>
        <v>0</v>
      </c>
      <c r="BP81">
        <f>IF(ISBLANK(E81),0,ABS(E81-50))</f>
        <v>0</v>
      </c>
      <c r="BQ81" s="21" t="str">
        <f>IF(OR(ISBLANK(V81),ISBLANK(W81)),"",IF(SUM(V81,W81)=0,"",CONCATENATE(V81,"-",W81)))</f>
        <v/>
      </c>
      <c r="BR81" s="21" t="str">
        <f>IF(OR(AND(OR(AND(A81&gt;75,X81="Final Handicap"),AND(A81&gt;25,X81="1st half Handicap")),OR(AND(G81&gt;20,U81&lt;T81,E81&gt;45),AND(G81&lt;-20,U81&gt;T81,E81&lt;55))),AND(AND(A81-Y81&lt;200,A81-Y81&gt;9),OR(AND(A81&gt;75,X81="Final Handicap"),AND(A81&gt;25,X81="1st half Handicap")),OR(AND(AK81&gt;20,U81&lt;T81,E81&gt;45),AND(AK81&lt;-20,U81&gt;T81,E81&lt;55))),AND(AND(A81-AL81&lt;200,A81-AL81&gt;9),OR(AND(A81&gt;75,X81="Final Handicap"),AND(A81&gt;25,X81="1st half Handicap")),OR(AND(AX81&gt;20,U81&lt;T81,E81&gt;45),AND(AX81&lt;-20,U81&gt;T81,E81&lt;55))),AND(AND(A81-AY81&lt;200,A81-AY81&gt;9),OR(AND(A81&gt;75,X81="Final Handicap"),AND(A81&gt;25,X81="1st half Handicap")),OR(AND(BK81&gt;20,U81&lt;T81,E81&gt;45),AND(BK81&lt;-20,U81&gt;T81,E81&lt;55)))),"GOOD","")</f>
        <v/>
      </c>
      <c r="BS81" s="21"/>
    </row>
    <row r="82" spans="1:71" ht="17.25" x14ac:dyDescent="0.3">
      <c r="A82" s="3"/>
      <c r="D82" s="8" t="str">
        <f>IF(ISBLANK(T82),"",CONCATENATE(T82,"-",U82))</f>
        <v/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>
        <f>IF(NOT(ISBLANK(G82)),ABS(G82),0)</f>
        <v>0</v>
      </c>
      <c r="BM82">
        <f>IF(NOT(ISBLANK(AK82)),ABS(AK82),0)</f>
        <v>0</v>
      </c>
      <c r="BN82">
        <f>IF(NOT(ISBLANK(AX82)),ABS(AX82),0)</f>
        <v>0</v>
      </c>
      <c r="BO82">
        <f>IF(NOT(ISBLANK(BK82)),ABS(BK82),0)</f>
        <v>0</v>
      </c>
      <c r="BP82">
        <f>IF(ISBLANK(E82),0,ABS(E82-50))</f>
        <v>0</v>
      </c>
      <c r="BQ82" s="21" t="str">
        <f>IF(OR(ISBLANK(V82),ISBLANK(W82)),"",IF(SUM(V82,W82)=0,"",CONCATENATE(V82,"-",W82)))</f>
        <v/>
      </c>
      <c r="BR82" s="21" t="str">
        <f>IF(OR(AND(OR(AND(A82&gt;75,X82="Final Handicap"),AND(A82&gt;25,X82="1st half Handicap")),OR(AND(G82&gt;20,U82&lt;T82,E82&gt;45),AND(G82&lt;-20,U82&gt;T82,E82&lt;55))),AND(AND(A82-Y82&lt;200,A82-Y82&gt;9),OR(AND(A82&gt;75,X82="Final Handicap"),AND(A82&gt;25,X82="1st half Handicap")),OR(AND(AK82&gt;20,U82&lt;T82,E82&gt;45),AND(AK82&lt;-20,U82&gt;T82,E82&lt;55))),AND(AND(A82-AL82&lt;200,A82-AL82&gt;9),OR(AND(A82&gt;75,X82="Final Handicap"),AND(A82&gt;25,X82="1st half Handicap")),OR(AND(AX82&gt;20,U82&lt;T82,E82&gt;45),AND(AX82&lt;-20,U82&gt;T82,E82&lt;55))),AND(AND(A82-AY82&lt;200,A82-AY82&gt;9),OR(AND(A82&gt;75,X82="Final Handicap"),AND(A82&gt;25,X82="1st half Handicap")),OR(AND(BK82&gt;20,U82&lt;T82,E82&gt;45),AND(BK82&lt;-20,U82&gt;T82,E82&lt;55)))),"GOOD","")</f>
        <v/>
      </c>
      <c r="BS82" s="21"/>
    </row>
    <row r="83" spans="1:71" ht="17.25" x14ac:dyDescent="0.3">
      <c r="A83" s="3"/>
      <c r="D83" s="8" t="str">
        <f>IF(ISBLANK(T83),"",CONCATENATE(T83,"-",U83))</f>
        <v/>
      </c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>
        <f>IF(NOT(ISBLANK(G83)),ABS(G83),0)</f>
        <v>0</v>
      </c>
      <c r="BM83">
        <f>IF(NOT(ISBLANK(AK83)),ABS(AK83),0)</f>
        <v>0</v>
      </c>
      <c r="BN83">
        <f>IF(NOT(ISBLANK(AX83)),ABS(AX83),0)</f>
        <v>0</v>
      </c>
      <c r="BO83">
        <f>IF(NOT(ISBLANK(BK83)),ABS(BK83),0)</f>
        <v>0</v>
      </c>
      <c r="BP83">
        <f>IF(ISBLANK(E83),0,ABS(E83-50))</f>
        <v>0</v>
      </c>
      <c r="BQ83" s="21" t="str">
        <f>IF(OR(ISBLANK(V83),ISBLANK(W83)),"",IF(SUM(V83,W83)=0,"",CONCATENATE(V83,"-",W83)))</f>
        <v/>
      </c>
      <c r="BR83" s="21" t="str">
        <f>IF(OR(AND(OR(AND(A83&gt;75,X83="Final Handicap"),AND(A83&gt;25,X83="1st half Handicap")),OR(AND(G83&gt;20,U83&lt;T83,E83&gt;45),AND(G83&lt;-20,U83&gt;T83,E83&lt;55))),AND(AND(A83-Y83&lt;200,A83-Y83&gt;9),OR(AND(A83&gt;75,X83="Final Handicap"),AND(A83&gt;25,X83="1st half Handicap")),OR(AND(AK83&gt;20,U83&lt;T83,E83&gt;45),AND(AK83&lt;-20,U83&gt;T83,E83&lt;55))),AND(AND(A83-AL83&lt;200,A83-AL83&gt;9),OR(AND(A83&gt;75,X83="Final Handicap"),AND(A83&gt;25,X83="1st half Handicap")),OR(AND(AX83&gt;20,U83&lt;T83,E83&gt;45),AND(AX83&lt;-20,U83&gt;T83,E83&lt;55))),AND(AND(A83-AY83&lt;200,A83-AY83&gt;9),OR(AND(A83&gt;75,X83="Final Handicap"),AND(A83&gt;25,X83="1st half Handicap")),OR(AND(BK83&gt;20,U83&lt;T83,E83&gt;45),AND(BK83&lt;-20,U83&gt;T83,E83&lt;55)))),"GOOD","")</f>
        <v/>
      </c>
      <c r="BS83" s="21"/>
    </row>
    <row r="84" spans="1:71" ht="17.25" x14ac:dyDescent="0.3">
      <c r="A84" s="3"/>
      <c r="D84" s="8" t="str">
        <f>IF(ISBLANK(T84),"",CONCATENATE(T84,"-",U84))</f>
        <v/>
      </c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>
        <f>IF(NOT(ISBLANK(G84)),ABS(G84),0)</f>
        <v>0</v>
      </c>
      <c r="BM84">
        <f>IF(NOT(ISBLANK(AK84)),ABS(AK84),0)</f>
        <v>0</v>
      </c>
      <c r="BN84">
        <f>IF(NOT(ISBLANK(AX84)),ABS(AX84),0)</f>
        <v>0</v>
      </c>
      <c r="BO84">
        <f>IF(NOT(ISBLANK(BK84)),ABS(BK84),0)</f>
        <v>0</v>
      </c>
      <c r="BP84">
        <f>IF(ISBLANK(E84),0,ABS(E84-50))</f>
        <v>0</v>
      </c>
      <c r="BQ84" s="21" t="str">
        <f>IF(OR(ISBLANK(V84),ISBLANK(W84)),"",IF(SUM(V84,W84)=0,"",CONCATENATE(V84,"-",W84)))</f>
        <v/>
      </c>
      <c r="BR84" s="21" t="str">
        <f>IF(OR(AND(OR(AND(A84&gt;75,X84="Final Handicap"),AND(A84&gt;25,X84="1st half Handicap")),OR(AND(G84&gt;20,U84&lt;T84,E84&gt;45),AND(G84&lt;-20,U84&gt;T84,E84&lt;55))),AND(AND(A84-Y84&lt;200,A84-Y84&gt;9),OR(AND(A84&gt;75,X84="Final Handicap"),AND(A84&gt;25,X84="1st half Handicap")),OR(AND(AK84&gt;20,U84&lt;T84,E84&gt;45),AND(AK84&lt;-20,U84&gt;T84,E84&lt;55))),AND(AND(A84-AL84&lt;200,A84-AL84&gt;9),OR(AND(A84&gt;75,X84="Final Handicap"),AND(A84&gt;25,X84="1st half Handicap")),OR(AND(AX84&gt;20,U84&lt;T84,E84&gt;45),AND(AX84&lt;-20,U84&gt;T84,E84&lt;55))),AND(AND(A84-AY84&lt;200,A84-AY84&gt;9),OR(AND(A84&gt;75,X84="Final Handicap"),AND(A84&gt;25,X84="1st half Handicap")),OR(AND(BK84&gt;20,U84&lt;T84,E84&gt;45),AND(BK84&lt;-20,U84&gt;T84,E84&lt;55)))),"GOOD","")</f>
        <v/>
      </c>
      <c r="BS84" s="21"/>
    </row>
    <row r="85" spans="1:71" ht="17.25" x14ac:dyDescent="0.3">
      <c r="A85" s="3"/>
      <c r="D85" s="8" t="str">
        <f>IF(ISBLANK(T85),"",CONCATENATE(T85,"-",U85))</f>
        <v/>
      </c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>
        <f>IF(NOT(ISBLANK(G85)),ABS(G85),0)</f>
        <v>0</v>
      </c>
      <c r="BM85">
        <f>IF(NOT(ISBLANK(AK85)),ABS(AK85),0)</f>
        <v>0</v>
      </c>
      <c r="BN85">
        <f>IF(NOT(ISBLANK(AX85)),ABS(AX85),0)</f>
        <v>0</v>
      </c>
      <c r="BO85">
        <f>IF(NOT(ISBLANK(BK85)),ABS(BK85),0)</f>
        <v>0</v>
      </c>
      <c r="BP85">
        <f>IF(ISBLANK(E85),0,ABS(E85-50))</f>
        <v>0</v>
      </c>
      <c r="BQ85" s="21" t="str">
        <f>IF(OR(ISBLANK(V85),ISBLANK(W85)),"",IF(SUM(V85,W85)=0,"",CONCATENATE(V85,"-",W85)))</f>
        <v/>
      </c>
      <c r="BR85" s="21" t="str">
        <f>IF(OR(AND(OR(AND(A85&gt;75,X85="Final Handicap"),AND(A85&gt;25,X85="1st half Handicap")),OR(AND(G85&gt;20,U85&lt;T85,E85&gt;45),AND(G85&lt;-20,U85&gt;T85,E85&lt;55))),AND(AND(A85-Y85&lt;200,A85-Y85&gt;9),OR(AND(A85&gt;75,X85="Final Handicap"),AND(A85&gt;25,X85="1st half Handicap")),OR(AND(AK85&gt;20,U85&lt;T85,E85&gt;45),AND(AK85&lt;-20,U85&gt;T85,E85&lt;55))),AND(AND(A85-AL85&lt;200,A85-AL85&gt;9),OR(AND(A85&gt;75,X85="Final Handicap"),AND(A85&gt;25,X85="1st half Handicap")),OR(AND(AX85&gt;20,U85&lt;T85,E85&gt;45),AND(AX85&lt;-20,U85&gt;T85,E85&lt;55))),AND(AND(A85-AY85&lt;200,A85-AY85&gt;9),OR(AND(A85&gt;75,X85="Final Handicap"),AND(A85&gt;25,X85="1st half Handicap")),OR(AND(BK85&gt;20,U85&lt;T85,E85&gt;45),AND(BK85&lt;-20,U85&gt;T85,E85&lt;55)))),"GOOD","")</f>
        <v/>
      </c>
      <c r="BS85" s="21"/>
    </row>
    <row r="86" spans="1:71" ht="17.25" x14ac:dyDescent="0.3">
      <c r="A86" s="3"/>
      <c r="D86" s="8" t="str">
        <f>IF(ISBLANK(T86),"",CONCATENATE(T86,"-",U86))</f>
        <v/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>
        <f>IF(NOT(ISBLANK(G86)),ABS(G86),0)</f>
        <v>0</v>
      </c>
      <c r="BM86">
        <f>IF(NOT(ISBLANK(AK86)),ABS(AK86),0)</f>
        <v>0</v>
      </c>
      <c r="BN86">
        <f>IF(NOT(ISBLANK(AX86)),ABS(AX86),0)</f>
        <v>0</v>
      </c>
      <c r="BO86">
        <f>IF(NOT(ISBLANK(BK86)),ABS(BK86),0)</f>
        <v>0</v>
      </c>
      <c r="BP86">
        <f>IF(ISBLANK(E86),0,ABS(E86-50))</f>
        <v>0</v>
      </c>
      <c r="BQ86" s="21" t="str">
        <f>IF(OR(ISBLANK(V86),ISBLANK(W86)),"",IF(SUM(V86,W86)=0,"",CONCATENATE(V86,"-",W86)))</f>
        <v/>
      </c>
      <c r="BR86" s="21" t="str">
        <f>IF(OR(AND(OR(AND(A86&gt;75,X86="Final Handicap"),AND(A86&gt;25,X86="1st half Handicap")),OR(AND(G86&gt;20,U86&lt;T86,E86&gt;45),AND(G86&lt;-20,U86&gt;T86,E86&lt;55))),AND(AND(A86-Y86&lt;200,A86-Y86&gt;9),OR(AND(A86&gt;75,X86="Final Handicap"),AND(A86&gt;25,X86="1st half Handicap")),OR(AND(AK86&gt;20,U86&lt;T86,E86&gt;45),AND(AK86&lt;-20,U86&gt;T86,E86&lt;55))),AND(AND(A86-AL86&lt;200,A86-AL86&gt;9),OR(AND(A86&gt;75,X86="Final Handicap"),AND(A86&gt;25,X86="1st half Handicap")),OR(AND(AX86&gt;20,U86&lt;T86,E86&gt;45),AND(AX86&lt;-20,U86&gt;T86,E86&lt;55))),AND(AND(A86-AY86&lt;200,A86-AY86&gt;9),OR(AND(A86&gt;75,X86="Final Handicap"),AND(A86&gt;25,X86="1st half Handicap")),OR(AND(BK86&gt;20,U86&lt;T86,E86&gt;45),AND(BK86&lt;-20,U86&gt;T86,E86&lt;55)))),"GOOD","")</f>
        <v/>
      </c>
      <c r="BS86" s="21"/>
    </row>
    <row r="87" spans="1:71" ht="17.25" x14ac:dyDescent="0.3">
      <c r="A87" s="3"/>
      <c r="D87" s="8" t="str">
        <f>IF(ISBLANK(T87),"",CONCATENATE(T87,"-",U87))</f>
        <v/>
      </c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>
        <f>IF(NOT(ISBLANK(G87)),ABS(G87),0)</f>
        <v>0</v>
      </c>
      <c r="BM87">
        <f>IF(NOT(ISBLANK(AK87)),ABS(AK87),0)</f>
        <v>0</v>
      </c>
      <c r="BN87">
        <f>IF(NOT(ISBLANK(AX87)),ABS(AX87),0)</f>
        <v>0</v>
      </c>
      <c r="BO87">
        <f>IF(NOT(ISBLANK(BK87)),ABS(BK87),0)</f>
        <v>0</v>
      </c>
      <c r="BP87">
        <f>IF(ISBLANK(E87),0,ABS(E87-50))</f>
        <v>0</v>
      </c>
      <c r="BQ87" s="21" t="str">
        <f>IF(OR(ISBLANK(V87),ISBLANK(W87)),"",IF(SUM(V87,W87)=0,"",CONCATENATE(V87,"-",W87)))</f>
        <v/>
      </c>
      <c r="BR87" s="21" t="str">
        <f>IF(OR(AND(OR(AND(A87&gt;75,X87="Final Handicap"),AND(A87&gt;25,X87="1st half Handicap")),OR(AND(G87&gt;20,U87&lt;T87,E87&gt;45),AND(G87&lt;-20,U87&gt;T87,E87&lt;55))),AND(AND(A87-Y87&lt;200,A87-Y87&gt;9),OR(AND(A87&gt;75,X87="Final Handicap"),AND(A87&gt;25,X87="1st half Handicap")),OR(AND(AK87&gt;20,U87&lt;T87,E87&gt;45),AND(AK87&lt;-20,U87&gt;T87,E87&lt;55))),AND(AND(A87-AL87&lt;200,A87-AL87&gt;9),OR(AND(A87&gt;75,X87="Final Handicap"),AND(A87&gt;25,X87="1st half Handicap")),OR(AND(AX87&gt;20,U87&lt;T87,E87&gt;45),AND(AX87&lt;-20,U87&gt;T87,E87&lt;55))),AND(AND(A87-AY87&lt;200,A87-AY87&gt;9),OR(AND(A87&gt;75,X87="Final Handicap"),AND(A87&gt;25,X87="1st half Handicap")),OR(AND(BK87&gt;20,U87&lt;T87,E87&gt;45),AND(BK87&lt;-20,U87&gt;T87,E87&lt;55)))),"GOOD","")</f>
        <v/>
      </c>
      <c r="BS87" s="21"/>
    </row>
    <row r="88" spans="1:71" ht="17.25" x14ac:dyDescent="0.3">
      <c r="A88" s="3"/>
      <c r="D88" s="8" t="str">
        <f>IF(ISBLANK(T88),"",CONCATENATE(T88,"-",U88))</f>
        <v/>
      </c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>
        <f>IF(NOT(ISBLANK(G88)),ABS(G88),0)</f>
        <v>0</v>
      </c>
      <c r="BM88">
        <f>IF(NOT(ISBLANK(AK88)),ABS(AK88),0)</f>
        <v>0</v>
      </c>
      <c r="BN88">
        <f>IF(NOT(ISBLANK(AX88)),ABS(AX88),0)</f>
        <v>0</v>
      </c>
      <c r="BO88">
        <f>IF(NOT(ISBLANK(BK88)),ABS(BK88),0)</f>
        <v>0</v>
      </c>
      <c r="BP88">
        <f>IF(ISBLANK(E88),0,ABS(E88-50))</f>
        <v>0</v>
      </c>
      <c r="BQ88" s="21" t="str">
        <f>IF(OR(ISBLANK(V88),ISBLANK(W88)),"",IF(SUM(V88,W88)=0,"",CONCATENATE(V88,"-",W88)))</f>
        <v/>
      </c>
      <c r="BR88" s="21" t="str">
        <f>IF(OR(AND(OR(AND(A88&gt;75,X88="Final Handicap"),AND(A88&gt;25,X88="1st half Handicap")),OR(AND(G88&gt;20,U88&lt;T88,E88&gt;45),AND(G88&lt;-20,U88&gt;T88,E88&lt;55))),AND(AND(A88-Y88&lt;200,A88-Y88&gt;9),OR(AND(A88&gt;75,X88="Final Handicap"),AND(A88&gt;25,X88="1st half Handicap")),OR(AND(AK88&gt;20,U88&lt;T88,E88&gt;45),AND(AK88&lt;-20,U88&gt;T88,E88&lt;55))),AND(AND(A88-AL88&lt;200,A88-AL88&gt;9),OR(AND(A88&gt;75,X88="Final Handicap"),AND(A88&gt;25,X88="1st half Handicap")),OR(AND(AX88&gt;20,U88&lt;T88,E88&gt;45),AND(AX88&lt;-20,U88&gt;T88,E88&lt;55))),AND(AND(A88-AY88&lt;200,A88-AY88&gt;9),OR(AND(A88&gt;75,X88="Final Handicap"),AND(A88&gt;25,X88="1st half Handicap")),OR(AND(BK88&gt;20,U88&lt;T88,E88&gt;45),AND(BK88&lt;-20,U88&gt;T88,E88&lt;55)))),"GOOD","")</f>
        <v/>
      </c>
      <c r="BS88" s="21"/>
    </row>
    <row r="89" spans="1:71" ht="17.25" x14ac:dyDescent="0.3">
      <c r="A89" s="3"/>
      <c r="D89" s="8" t="str">
        <f>IF(ISBLANK(T89),"",CONCATENATE(T89,"-",U89))</f>
        <v/>
      </c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>
        <f>IF(NOT(ISBLANK(G89)),ABS(G89),0)</f>
        <v>0</v>
      </c>
      <c r="BM89">
        <f>IF(NOT(ISBLANK(AK89)),ABS(AK89),0)</f>
        <v>0</v>
      </c>
      <c r="BN89">
        <f>IF(NOT(ISBLANK(AX89)),ABS(AX89),0)</f>
        <v>0</v>
      </c>
      <c r="BO89">
        <f>IF(NOT(ISBLANK(BK89)),ABS(BK89),0)</f>
        <v>0</v>
      </c>
      <c r="BP89">
        <f>IF(ISBLANK(E89),0,ABS(E89-50))</f>
        <v>0</v>
      </c>
      <c r="BQ89" s="21" t="str">
        <f>IF(OR(ISBLANK(V89),ISBLANK(W89)),"",IF(SUM(V89,W89)=0,"",CONCATENATE(V89,"-",W89)))</f>
        <v/>
      </c>
      <c r="BR89" s="21" t="str">
        <f>IF(OR(AND(OR(AND(A89&gt;75,X89="Final Handicap"),AND(A89&gt;25,X89="1st half Handicap")),OR(AND(G89&gt;20,U89&lt;T89,E89&gt;45),AND(G89&lt;-20,U89&gt;T89,E89&lt;55))),AND(AND(A89-Y89&lt;200,A89-Y89&gt;9),OR(AND(A89&gt;75,X89="Final Handicap"),AND(A89&gt;25,X89="1st half Handicap")),OR(AND(AK89&gt;20,U89&lt;T89,E89&gt;45),AND(AK89&lt;-20,U89&gt;T89,E89&lt;55))),AND(AND(A89-AL89&lt;200,A89-AL89&gt;9),OR(AND(A89&gt;75,X89="Final Handicap"),AND(A89&gt;25,X89="1st half Handicap")),OR(AND(AX89&gt;20,U89&lt;T89,E89&gt;45),AND(AX89&lt;-20,U89&gt;T89,E89&lt;55))),AND(AND(A89-AY89&lt;200,A89-AY89&gt;9),OR(AND(A89&gt;75,X89="Final Handicap"),AND(A89&gt;25,X89="1st half Handicap")),OR(AND(BK89&gt;20,U89&lt;T89,E89&gt;45),AND(BK89&lt;-20,U89&gt;T89,E89&lt;55)))),"GOOD","")</f>
        <v/>
      </c>
      <c r="BS89" s="21"/>
    </row>
    <row r="90" spans="1:71" ht="17.25" x14ac:dyDescent="0.3">
      <c r="A90" s="3"/>
      <c r="D90" s="8" t="str">
        <f>IF(ISBLANK(T90),"",CONCATENATE(T90,"-",U90))</f>
        <v/>
      </c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>
        <f>IF(NOT(ISBLANK(G90)),ABS(G90),0)</f>
        <v>0</v>
      </c>
      <c r="BM90">
        <f>IF(NOT(ISBLANK(AK90)),ABS(AK90),0)</f>
        <v>0</v>
      </c>
      <c r="BN90">
        <f>IF(NOT(ISBLANK(AX90)),ABS(AX90),0)</f>
        <v>0</v>
      </c>
      <c r="BO90">
        <f>IF(NOT(ISBLANK(BK90)),ABS(BK90),0)</f>
        <v>0</v>
      </c>
      <c r="BP90">
        <f>IF(ISBLANK(E90),0,ABS(E90-50))</f>
        <v>0</v>
      </c>
      <c r="BQ90" s="21" t="str">
        <f>IF(OR(ISBLANK(V90),ISBLANK(W90)),"",IF(SUM(V90,W90)=0,"",CONCATENATE(V90,"-",W90)))</f>
        <v/>
      </c>
      <c r="BR90" s="21" t="str">
        <f>IF(OR(AND(OR(AND(A90&gt;75,X90="Final Handicap"),AND(A90&gt;25,X90="1st half Handicap")),OR(AND(G90&gt;20,U90&lt;T90,E90&gt;45),AND(G90&lt;-20,U90&gt;T90,E90&lt;55))),AND(AND(A90-Y90&lt;200,A90-Y90&gt;9),OR(AND(A90&gt;75,X90="Final Handicap"),AND(A90&gt;25,X90="1st half Handicap")),OR(AND(AK90&gt;20,U90&lt;T90,E90&gt;45),AND(AK90&lt;-20,U90&gt;T90,E90&lt;55))),AND(AND(A90-AL90&lt;200,A90-AL90&gt;9),OR(AND(A90&gt;75,X90="Final Handicap"),AND(A90&gt;25,X90="1st half Handicap")),OR(AND(AX90&gt;20,U90&lt;T90,E90&gt;45),AND(AX90&lt;-20,U90&gt;T90,E90&lt;55))),AND(AND(A90-AY90&lt;200,A90-AY90&gt;9),OR(AND(A90&gt;75,X90="Final Handicap"),AND(A90&gt;25,X90="1st half Handicap")),OR(AND(BK90&gt;20,U90&lt;T90,E90&gt;45),AND(BK90&lt;-20,U90&gt;T90,E90&lt;55)))),"GOOD","")</f>
        <v/>
      </c>
      <c r="BS90" s="21"/>
    </row>
    <row r="91" spans="1:71" ht="17.25" x14ac:dyDescent="0.3">
      <c r="A91" s="3"/>
      <c r="D91" s="8" t="str">
        <f>IF(ISBLANK(T91),"",CONCATENATE(T91,"-",U91))</f>
        <v/>
      </c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>
        <f>IF(NOT(ISBLANK(G91)),ABS(G91),0)</f>
        <v>0</v>
      </c>
      <c r="BM91">
        <f>IF(NOT(ISBLANK(AK91)),ABS(AK91),0)</f>
        <v>0</v>
      </c>
      <c r="BN91">
        <f>IF(NOT(ISBLANK(AX91)),ABS(AX91),0)</f>
        <v>0</v>
      </c>
      <c r="BO91">
        <f>IF(NOT(ISBLANK(BK91)),ABS(BK91),0)</f>
        <v>0</v>
      </c>
      <c r="BP91">
        <f>IF(ISBLANK(E91),0,ABS(E91-50))</f>
        <v>0</v>
      </c>
      <c r="BQ91" s="21" t="str">
        <f>IF(OR(ISBLANK(V91),ISBLANK(W91)),"",IF(SUM(V91,W91)=0,"",CONCATENATE(V91,"-",W91)))</f>
        <v/>
      </c>
      <c r="BR91" s="21" t="str">
        <f>IF(OR(AND(OR(AND(A91&gt;75,X91="Final Handicap"),AND(A91&gt;25,X91="1st half Handicap")),OR(AND(G91&gt;20,U91&lt;T91,E91&gt;45),AND(G91&lt;-20,U91&gt;T91,E91&lt;55))),AND(AND(A91-Y91&lt;200,A91-Y91&gt;9),OR(AND(A91&gt;75,X91="Final Handicap"),AND(A91&gt;25,X91="1st half Handicap")),OR(AND(AK91&gt;20,U91&lt;T91,E91&gt;45),AND(AK91&lt;-20,U91&gt;T91,E91&lt;55))),AND(AND(A91-AL91&lt;200,A91-AL91&gt;9),OR(AND(A91&gt;75,X91="Final Handicap"),AND(A91&gt;25,X91="1st half Handicap")),OR(AND(AX91&gt;20,U91&lt;T91,E91&gt;45),AND(AX91&lt;-20,U91&gt;T91,E91&lt;55))),AND(AND(A91-AY91&lt;200,A91-AY91&gt;9),OR(AND(A91&gt;75,X91="Final Handicap"),AND(A91&gt;25,X91="1st half Handicap")),OR(AND(BK91&gt;20,U91&lt;T91,E91&gt;45),AND(BK91&lt;-20,U91&gt;T91,E91&lt;55)))),"GOOD","")</f>
        <v/>
      </c>
      <c r="BS91" s="21"/>
    </row>
    <row r="92" spans="1:71" ht="17.25" x14ac:dyDescent="0.3">
      <c r="A92" s="3"/>
      <c r="D92" s="8" t="str">
        <f>IF(ISBLANK(T92),"",CONCATENATE(T92,"-",U92))</f>
        <v/>
      </c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>
        <f>IF(NOT(ISBLANK(G92)),ABS(G92),0)</f>
        <v>0</v>
      </c>
      <c r="BM92">
        <f>IF(NOT(ISBLANK(AK92)),ABS(AK92),0)</f>
        <v>0</v>
      </c>
      <c r="BN92">
        <f>IF(NOT(ISBLANK(AX92)),ABS(AX92),0)</f>
        <v>0</v>
      </c>
      <c r="BO92">
        <f>IF(NOT(ISBLANK(BK92)),ABS(BK92),0)</f>
        <v>0</v>
      </c>
      <c r="BP92">
        <f>IF(ISBLANK(E92),0,ABS(E92-50))</f>
        <v>0</v>
      </c>
      <c r="BQ92" s="21" t="str">
        <f>IF(OR(ISBLANK(V92),ISBLANK(W92)),"",IF(SUM(V92,W92)=0,"",CONCATENATE(V92,"-",W92)))</f>
        <v/>
      </c>
      <c r="BR92" s="21" t="str">
        <f>IF(OR(AND(OR(AND(A92&gt;75,X92="Final Handicap"),AND(A92&gt;25,X92="1st half Handicap")),OR(AND(G92&gt;20,U92&lt;T92,E92&gt;45),AND(G92&lt;-20,U92&gt;T92,E92&lt;55))),AND(AND(A92-Y92&lt;200,A92-Y92&gt;9),OR(AND(A92&gt;75,X92="Final Handicap"),AND(A92&gt;25,X92="1st half Handicap")),OR(AND(AK92&gt;20,U92&lt;T92,E92&gt;45),AND(AK92&lt;-20,U92&gt;T92,E92&lt;55))),AND(AND(A92-AL92&lt;200,A92-AL92&gt;9),OR(AND(A92&gt;75,X92="Final Handicap"),AND(A92&gt;25,X92="1st half Handicap")),OR(AND(AX92&gt;20,U92&lt;T92,E92&gt;45),AND(AX92&lt;-20,U92&gt;T92,E92&lt;55))),AND(AND(A92-AY92&lt;200,A92-AY92&gt;9),OR(AND(A92&gt;75,X92="Final Handicap"),AND(A92&gt;25,X92="1st half Handicap")),OR(AND(BK92&gt;20,U92&lt;T92,E92&gt;45),AND(BK92&lt;-20,U92&gt;T92,E92&lt;55)))),"GOOD","")</f>
        <v/>
      </c>
      <c r="BS92" s="21"/>
    </row>
    <row r="93" spans="1:71" ht="17.25" x14ac:dyDescent="0.3">
      <c r="A93" s="3"/>
      <c r="D93" s="8" t="str">
        <f>IF(ISBLANK(T93),"",CONCATENATE(T93,"-",U93))</f>
        <v/>
      </c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>
        <f>IF(NOT(ISBLANK(G93)),ABS(G93),0)</f>
        <v>0</v>
      </c>
      <c r="BM93">
        <f>IF(NOT(ISBLANK(AK93)),ABS(AK93),0)</f>
        <v>0</v>
      </c>
      <c r="BN93">
        <f>IF(NOT(ISBLANK(AX93)),ABS(AX93),0)</f>
        <v>0</v>
      </c>
      <c r="BO93">
        <f>IF(NOT(ISBLANK(BK93)),ABS(BK93),0)</f>
        <v>0</v>
      </c>
      <c r="BP93">
        <f>IF(ISBLANK(E93),0,ABS(E93-50))</f>
        <v>0</v>
      </c>
      <c r="BQ93" s="21" t="str">
        <f>IF(OR(ISBLANK(V93),ISBLANK(W93)),"",IF(SUM(V93,W93)=0,"",CONCATENATE(V93,"-",W93)))</f>
        <v/>
      </c>
      <c r="BR93" s="21" t="str">
        <f>IF(OR(AND(OR(AND(A93&gt;75,X93="Final Handicap"),AND(A93&gt;25,X93="1st half Handicap")),OR(AND(G93&gt;20,U93&lt;T93,E93&gt;45),AND(G93&lt;-20,U93&gt;T93,E93&lt;55))),AND(AND(A93-Y93&lt;200,A93-Y93&gt;9),OR(AND(A93&gt;75,X93="Final Handicap"),AND(A93&gt;25,X93="1st half Handicap")),OR(AND(AK93&gt;20,U93&lt;T93,E93&gt;45),AND(AK93&lt;-20,U93&gt;T93,E93&lt;55))),AND(AND(A93-AL93&lt;200,A93-AL93&gt;9),OR(AND(A93&gt;75,X93="Final Handicap"),AND(A93&gt;25,X93="1st half Handicap")),OR(AND(AX93&gt;20,U93&lt;T93,E93&gt;45),AND(AX93&lt;-20,U93&gt;T93,E93&lt;55))),AND(AND(A93-AY93&lt;200,A93-AY93&gt;9),OR(AND(A93&gt;75,X93="Final Handicap"),AND(A93&gt;25,X93="1st half Handicap")),OR(AND(BK93&gt;20,U93&lt;T93,E93&gt;45),AND(BK93&lt;-20,U93&gt;T93,E93&lt;55)))),"GOOD","")</f>
        <v/>
      </c>
      <c r="BS93" s="21"/>
    </row>
    <row r="94" spans="1:71" ht="17.25" x14ac:dyDescent="0.3">
      <c r="A94" s="3"/>
      <c r="D94" s="8" t="str">
        <f>IF(ISBLANK(T94),"",CONCATENATE(T94,"-",U94))</f>
        <v/>
      </c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>
        <f>IF(NOT(ISBLANK(G94)),ABS(G94),0)</f>
        <v>0</v>
      </c>
      <c r="BM94">
        <f>IF(NOT(ISBLANK(AK94)),ABS(AK94),0)</f>
        <v>0</v>
      </c>
      <c r="BN94">
        <f>IF(NOT(ISBLANK(AX94)),ABS(AX94),0)</f>
        <v>0</v>
      </c>
      <c r="BO94">
        <f>IF(NOT(ISBLANK(BK94)),ABS(BK94),0)</f>
        <v>0</v>
      </c>
      <c r="BP94">
        <f>IF(ISBLANK(E94),0,ABS(E94-50))</f>
        <v>0</v>
      </c>
      <c r="BQ94" s="21" t="str">
        <f>IF(OR(ISBLANK(V94),ISBLANK(W94)),"",IF(SUM(V94,W94)=0,"",CONCATENATE(V94,"-",W94)))</f>
        <v/>
      </c>
      <c r="BR94" s="21" t="str">
        <f>IF(OR(AND(OR(AND(A94&gt;75,X94="Final Handicap"),AND(A94&gt;25,X94="1st half Handicap")),OR(AND(G94&gt;20,U94&lt;T94,E94&gt;45),AND(G94&lt;-20,U94&gt;T94,E94&lt;55))),AND(AND(A94-Y94&lt;200,A94-Y94&gt;9),OR(AND(A94&gt;75,X94="Final Handicap"),AND(A94&gt;25,X94="1st half Handicap")),OR(AND(AK94&gt;20,U94&lt;T94,E94&gt;45),AND(AK94&lt;-20,U94&gt;T94,E94&lt;55))),AND(AND(A94-AL94&lt;200,A94-AL94&gt;9),OR(AND(A94&gt;75,X94="Final Handicap"),AND(A94&gt;25,X94="1st half Handicap")),OR(AND(AX94&gt;20,U94&lt;T94,E94&gt;45),AND(AX94&lt;-20,U94&gt;T94,E94&lt;55))),AND(AND(A94-AY94&lt;200,A94-AY94&gt;9),OR(AND(A94&gt;75,X94="Final Handicap"),AND(A94&gt;25,X94="1st half Handicap")),OR(AND(BK94&gt;20,U94&lt;T94,E94&gt;45),AND(BK94&lt;-20,U94&gt;T94,E94&lt;55)))),"GOOD","")</f>
        <v/>
      </c>
      <c r="BS94" s="21"/>
    </row>
    <row r="95" spans="1:71" ht="17.25" x14ac:dyDescent="0.3">
      <c r="A95" s="3"/>
      <c r="D95" s="8" t="str">
        <f>IF(ISBLANK(T95),"",CONCATENATE(T95,"-",U95))</f>
        <v/>
      </c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>
        <f>IF(NOT(ISBLANK(G95)),ABS(G95),0)</f>
        <v>0</v>
      </c>
      <c r="BM95">
        <f>IF(NOT(ISBLANK(AK95)),ABS(AK95),0)</f>
        <v>0</v>
      </c>
      <c r="BN95">
        <f>IF(NOT(ISBLANK(AX95)),ABS(AX95),0)</f>
        <v>0</v>
      </c>
      <c r="BO95">
        <f>IF(NOT(ISBLANK(BK95)),ABS(BK95),0)</f>
        <v>0</v>
      </c>
      <c r="BP95">
        <f>IF(ISBLANK(E95),0,ABS(E95-50))</f>
        <v>0</v>
      </c>
      <c r="BQ95" s="21" t="str">
        <f>IF(OR(ISBLANK(V95),ISBLANK(W95)),"",IF(SUM(V95,W95)=0,"",CONCATENATE(V95,"-",W95)))</f>
        <v/>
      </c>
      <c r="BR95" s="21" t="str">
        <f>IF(OR(AND(OR(AND(A95&gt;75,X95="Final Handicap"),AND(A95&gt;25,X95="1st half Handicap")),OR(AND(G95&gt;20,U95&lt;T95,E95&gt;45),AND(G95&lt;-20,U95&gt;T95,E95&lt;55))),AND(AND(A95-Y95&lt;200,A95-Y95&gt;9),OR(AND(A95&gt;75,X95="Final Handicap"),AND(A95&gt;25,X95="1st half Handicap")),OR(AND(AK95&gt;20,U95&lt;T95,E95&gt;45),AND(AK95&lt;-20,U95&gt;T95,E95&lt;55))),AND(AND(A95-AL95&lt;200,A95-AL95&gt;9),OR(AND(A95&gt;75,X95="Final Handicap"),AND(A95&gt;25,X95="1st half Handicap")),OR(AND(AX95&gt;20,U95&lt;T95,E95&gt;45),AND(AX95&lt;-20,U95&gt;T95,E95&lt;55))),AND(AND(A95-AY95&lt;200,A95-AY95&gt;9),OR(AND(A95&gt;75,X95="Final Handicap"),AND(A95&gt;25,X95="1st half Handicap")),OR(AND(BK95&gt;20,U95&lt;T95,E95&gt;45),AND(BK95&lt;-20,U95&gt;T95,E95&lt;55)))),"GOOD","")</f>
        <v/>
      </c>
      <c r="BS95" s="21"/>
    </row>
    <row r="96" spans="1:71" ht="17.25" x14ac:dyDescent="0.3">
      <c r="A96" s="3"/>
      <c r="D96" s="8" t="str">
        <f>IF(ISBLANK(T96),"",CONCATENATE(T96,"-",U96))</f>
        <v/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>
        <f>IF(NOT(ISBLANK(G96)),ABS(G96),0)</f>
        <v>0</v>
      </c>
      <c r="BM96">
        <f>IF(NOT(ISBLANK(AK96)),ABS(AK96),0)</f>
        <v>0</v>
      </c>
      <c r="BN96">
        <f>IF(NOT(ISBLANK(AX96)),ABS(AX96),0)</f>
        <v>0</v>
      </c>
      <c r="BO96">
        <f>IF(NOT(ISBLANK(BK96)),ABS(BK96),0)</f>
        <v>0</v>
      </c>
      <c r="BP96">
        <f>IF(ISBLANK(E96),0,ABS(E96-50))</f>
        <v>0</v>
      </c>
      <c r="BQ96" s="21" t="str">
        <f>IF(OR(ISBLANK(V96),ISBLANK(W96)),"",IF(SUM(V96,W96)=0,"",CONCATENATE(V96,"-",W96)))</f>
        <v/>
      </c>
      <c r="BR96" s="21" t="str">
        <f>IF(OR(AND(OR(AND(A96&gt;75,X96="Final Handicap"),AND(A96&gt;25,X96="1st half Handicap")),OR(AND(G96&gt;20,U96&lt;T96,E96&gt;45),AND(G96&lt;-20,U96&gt;T96,E96&lt;55))),AND(AND(A96-Y96&lt;200,A96-Y96&gt;9),OR(AND(A96&gt;75,X96="Final Handicap"),AND(A96&gt;25,X96="1st half Handicap")),OR(AND(AK96&gt;20,U96&lt;T96,E96&gt;45),AND(AK96&lt;-20,U96&gt;T96,E96&lt;55))),AND(AND(A96-AL96&lt;200,A96-AL96&gt;9),OR(AND(A96&gt;75,X96="Final Handicap"),AND(A96&gt;25,X96="1st half Handicap")),OR(AND(AX96&gt;20,U96&lt;T96,E96&gt;45),AND(AX96&lt;-20,U96&gt;T96,E96&lt;55))),AND(AND(A96-AY96&lt;200,A96-AY96&gt;9),OR(AND(A96&gt;75,X96="Final Handicap"),AND(A96&gt;25,X96="1st half Handicap")),OR(AND(BK96&gt;20,U96&lt;T96,E96&gt;45),AND(BK96&lt;-20,U96&gt;T96,E96&lt;55)))),"GOOD","")</f>
        <v/>
      </c>
      <c r="BS96" s="21"/>
    </row>
    <row r="97" spans="1:71" ht="17.25" x14ac:dyDescent="0.3">
      <c r="A97" s="3"/>
      <c r="D97" s="8" t="str">
        <f>IF(ISBLANK(T97),"",CONCATENATE(T97,"-",U97))</f>
        <v/>
      </c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>
        <f>IF(NOT(ISBLANK(G97)),ABS(G97),0)</f>
        <v>0</v>
      </c>
      <c r="BM97">
        <f>IF(NOT(ISBLANK(AK97)),ABS(AK97),0)</f>
        <v>0</v>
      </c>
      <c r="BN97">
        <f>IF(NOT(ISBLANK(AX97)),ABS(AX97),0)</f>
        <v>0</v>
      </c>
      <c r="BO97">
        <f>IF(NOT(ISBLANK(BK97)),ABS(BK97),0)</f>
        <v>0</v>
      </c>
      <c r="BP97">
        <f>IF(ISBLANK(E97),0,ABS(E97-50))</f>
        <v>0</v>
      </c>
      <c r="BQ97" s="21" t="str">
        <f>IF(OR(ISBLANK(V97),ISBLANK(W97)),"",IF(SUM(V97,W97)=0,"",CONCATENATE(V97,"-",W97)))</f>
        <v/>
      </c>
      <c r="BR97" s="21" t="str">
        <f>IF(OR(AND(OR(AND(A97&gt;75,X97="Final Handicap"),AND(A97&gt;25,X97="1st half Handicap")),OR(AND(G97&gt;20,U97&lt;T97,E97&gt;45),AND(G97&lt;-20,U97&gt;T97,E97&lt;55))),AND(AND(A97-Y97&lt;200,A97-Y97&gt;9),OR(AND(A97&gt;75,X97="Final Handicap"),AND(A97&gt;25,X97="1st half Handicap")),OR(AND(AK97&gt;20,U97&lt;T97,E97&gt;45),AND(AK97&lt;-20,U97&gt;T97,E97&lt;55))),AND(AND(A97-AL97&lt;200,A97-AL97&gt;9),OR(AND(A97&gt;75,X97="Final Handicap"),AND(A97&gt;25,X97="1st half Handicap")),OR(AND(AX97&gt;20,U97&lt;T97,E97&gt;45),AND(AX97&lt;-20,U97&gt;T97,E97&lt;55))),AND(AND(A97-AY97&lt;200,A97-AY97&gt;9),OR(AND(A97&gt;75,X97="Final Handicap"),AND(A97&gt;25,X97="1st half Handicap")),OR(AND(BK97&gt;20,U97&lt;T97,E97&gt;45),AND(BK97&lt;-20,U97&gt;T97,E97&lt;55)))),"GOOD","")</f>
        <v/>
      </c>
      <c r="BS97" s="21"/>
    </row>
    <row r="98" spans="1:71" ht="17.25" x14ac:dyDescent="0.3">
      <c r="A98" s="3"/>
      <c r="D98" s="8" t="str">
        <f>IF(ISBLANK(T98),"",CONCATENATE(T98,"-",U98))</f>
        <v/>
      </c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>
        <f>IF(NOT(ISBLANK(G98)),ABS(G98),0)</f>
        <v>0</v>
      </c>
      <c r="BM98">
        <f>IF(NOT(ISBLANK(AK98)),ABS(AK98),0)</f>
        <v>0</v>
      </c>
      <c r="BN98">
        <f>IF(NOT(ISBLANK(AX98)),ABS(AX98),0)</f>
        <v>0</v>
      </c>
      <c r="BO98">
        <f>IF(NOT(ISBLANK(BK98)),ABS(BK98),0)</f>
        <v>0</v>
      </c>
      <c r="BP98">
        <f>IF(ISBLANK(E98),0,ABS(E98-50))</f>
        <v>0</v>
      </c>
      <c r="BQ98" s="21" t="str">
        <f>IF(OR(ISBLANK(V98),ISBLANK(W98)),"",IF(SUM(V98,W98)=0,"",CONCATENATE(V98,"-",W98)))</f>
        <v/>
      </c>
      <c r="BR98" s="21" t="str">
        <f>IF(OR(AND(OR(AND(A98&gt;75,X98="Final Handicap"),AND(A98&gt;25,X98="1st half Handicap")),OR(AND(G98&gt;20,U98&lt;T98,E98&gt;45),AND(G98&lt;-20,U98&gt;T98,E98&lt;55))),AND(AND(A98-Y98&lt;200,A98-Y98&gt;9),OR(AND(A98&gt;75,X98="Final Handicap"),AND(A98&gt;25,X98="1st half Handicap")),OR(AND(AK98&gt;20,U98&lt;T98,E98&gt;45),AND(AK98&lt;-20,U98&gt;T98,E98&lt;55))),AND(AND(A98-AL98&lt;200,A98-AL98&gt;9),OR(AND(A98&gt;75,X98="Final Handicap"),AND(A98&gt;25,X98="1st half Handicap")),OR(AND(AX98&gt;20,U98&lt;T98,E98&gt;45),AND(AX98&lt;-20,U98&gt;T98,E98&lt;55))),AND(AND(A98-AY98&lt;200,A98-AY98&gt;9),OR(AND(A98&gt;75,X98="Final Handicap"),AND(A98&gt;25,X98="1st half Handicap")),OR(AND(BK98&gt;20,U98&lt;T98,E98&gt;45),AND(BK98&lt;-20,U98&gt;T98,E98&lt;55)))),"GOOD","")</f>
        <v/>
      </c>
      <c r="BS98" s="21"/>
    </row>
    <row r="99" spans="1:71" ht="17.25" x14ac:dyDescent="0.3">
      <c r="A99" s="3"/>
      <c r="D99" s="8" t="str">
        <f>IF(ISBLANK(T99),"",CONCATENATE(T99,"-",U99))</f>
        <v/>
      </c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>
        <f>IF(NOT(ISBLANK(G99)),ABS(G99),0)</f>
        <v>0</v>
      </c>
      <c r="BM99">
        <f>IF(NOT(ISBLANK(AK99)),ABS(AK99),0)</f>
        <v>0</v>
      </c>
      <c r="BN99">
        <f>IF(NOT(ISBLANK(AX99)),ABS(AX99),0)</f>
        <v>0</v>
      </c>
      <c r="BO99">
        <f>IF(NOT(ISBLANK(BK99)),ABS(BK99),0)</f>
        <v>0</v>
      </c>
      <c r="BP99">
        <f>IF(ISBLANK(E99),0,ABS(E99-50))</f>
        <v>0</v>
      </c>
      <c r="BQ99" s="21" t="str">
        <f>IF(OR(ISBLANK(V99),ISBLANK(W99)),"",IF(SUM(V99,W99)=0,"",CONCATENATE(V99,"-",W99)))</f>
        <v/>
      </c>
      <c r="BR99" s="21" t="str">
        <f>IF(OR(AND(OR(AND(A99&gt;75,X99="Final Handicap"),AND(A99&gt;25,X99="1st half Handicap")),OR(AND(G99&gt;20,U99&lt;T99,E99&gt;45),AND(G99&lt;-20,U99&gt;T99,E99&lt;55))),AND(AND(A99-Y99&lt;200,A99-Y99&gt;9),OR(AND(A99&gt;75,X99="Final Handicap"),AND(A99&gt;25,X99="1st half Handicap")),OR(AND(AK99&gt;20,U99&lt;T99,E99&gt;45),AND(AK99&lt;-20,U99&gt;T99,E99&lt;55))),AND(AND(A99-AL99&lt;200,A99-AL99&gt;9),OR(AND(A99&gt;75,X99="Final Handicap"),AND(A99&gt;25,X99="1st half Handicap")),OR(AND(AX99&gt;20,U99&lt;T99,E99&gt;45),AND(AX99&lt;-20,U99&gt;T99,E99&lt;55))),AND(AND(A99-AY99&lt;200,A99-AY99&gt;9),OR(AND(A99&gt;75,X99="Final Handicap"),AND(A99&gt;25,X99="1st half Handicap")),OR(AND(BK99&gt;20,U99&lt;T99,E99&gt;45),AND(BK99&lt;-20,U99&gt;T99,E99&lt;55)))),"GOOD","")</f>
        <v/>
      </c>
      <c r="BS99" s="21"/>
    </row>
    <row r="100" spans="1:71" ht="17.25" x14ac:dyDescent="0.3">
      <c r="A100" s="3"/>
      <c r="D100" s="8" t="str">
        <f>IF(ISBLANK(T100),"",CONCATENATE(T100,"-",U100))</f>
        <v/>
      </c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>
        <f>IF(NOT(ISBLANK(G100)),ABS(G100),0)</f>
        <v>0</v>
      </c>
      <c r="BM100">
        <f>IF(NOT(ISBLANK(AK100)),ABS(AK100),0)</f>
        <v>0</v>
      </c>
      <c r="BN100">
        <f>IF(NOT(ISBLANK(AX100)),ABS(AX100),0)</f>
        <v>0</v>
      </c>
      <c r="BO100">
        <f>IF(NOT(ISBLANK(BK100)),ABS(BK100),0)</f>
        <v>0</v>
      </c>
      <c r="BP100">
        <f>IF(ISBLANK(E100),0,ABS(E100-50))</f>
        <v>0</v>
      </c>
      <c r="BQ100" s="21" t="str">
        <f>IF(OR(ISBLANK(V100),ISBLANK(W100)),"",IF(SUM(V100,W100)=0,"",CONCATENATE(V100,"-",W100)))</f>
        <v/>
      </c>
      <c r="BR100" s="21" t="str">
        <f>IF(OR(AND(OR(AND(A100&gt;75,X100="Final Handicap"),AND(A100&gt;25,X100="1st half Handicap")),OR(AND(G100&gt;20,U100&lt;T100,E100&gt;45),AND(G100&lt;-20,U100&gt;T100,E100&lt;55))),AND(AND(A100-Y100&lt;200,A100-Y100&gt;9),OR(AND(A100&gt;75,X100="Final Handicap"),AND(A100&gt;25,X100="1st half Handicap")),OR(AND(AK100&gt;20,U100&lt;T100,E100&gt;45),AND(AK100&lt;-20,U100&gt;T100,E100&lt;55))),AND(AND(A100-AL100&lt;200,A100-AL100&gt;9),OR(AND(A100&gt;75,X100="Final Handicap"),AND(A100&gt;25,X100="1st half Handicap")),OR(AND(AX100&gt;20,U100&lt;T100,E100&gt;45),AND(AX100&lt;-20,U100&gt;T100,E100&lt;55))),AND(AND(A100-AY100&lt;200,A100-AY100&gt;9),OR(AND(A100&gt;75,X100="Final Handicap"),AND(A100&gt;25,X100="1st half Handicap")),OR(AND(BK100&gt;20,U100&lt;T100,E100&gt;45),AND(BK100&lt;-20,U100&gt;T100,E100&lt;55)))),"GOOD","")</f>
        <v/>
      </c>
      <c r="BS100" s="21"/>
    </row>
    <row r="101" spans="1:71" ht="17.25" x14ac:dyDescent="0.3">
      <c r="A101" s="3"/>
      <c r="D101" s="8" t="str">
        <f>IF(ISBLANK(T101),"",CONCATENATE(T101,"-",U101))</f>
        <v/>
      </c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>
        <f>IF(NOT(ISBLANK(G101)),ABS(G101),0)</f>
        <v>0</v>
      </c>
      <c r="BM101">
        <f>IF(NOT(ISBLANK(AK101)),ABS(AK101),0)</f>
        <v>0</v>
      </c>
      <c r="BN101">
        <f>IF(NOT(ISBLANK(AX101)),ABS(AX101),0)</f>
        <v>0</v>
      </c>
      <c r="BO101">
        <f>IF(NOT(ISBLANK(BK101)),ABS(BK101),0)</f>
        <v>0</v>
      </c>
      <c r="BP101">
        <f>IF(ISBLANK(E101),0,ABS(E101-50))</f>
        <v>0</v>
      </c>
      <c r="BQ101" s="21" t="str">
        <f>IF(OR(ISBLANK(V101),ISBLANK(W101)),"",IF(SUM(V101,W101)=0,"",CONCATENATE(V101,"-",W101)))</f>
        <v/>
      </c>
      <c r="BR101" s="21" t="str">
        <f>IF(OR(AND(OR(AND(A101&gt;75,X101="Final Handicap"),AND(A101&gt;25,X101="1st half Handicap")),OR(AND(G101&gt;20,U101&lt;T101,E101&gt;45),AND(G101&lt;-20,U101&gt;T101,E101&lt;55))),AND(AND(A101-Y101&lt;200,A101-Y101&gt;9),OR(AND(A101&gt;75,X101="Final Handicap"),AND(A101&gt;25,X101="1st half Handicap")),OR(AND(AK101&gt;20,U101&lt;T101,E101&gt;45),AND(AK101&lt;-20,U101&gt;T101,E101&lt;55))),AND(AND(A101-AL101&lt;200,A101-AL101&gt;9),OR(AND(A101&gt;75,X101="Final Handicap"),AND(A101&gt;25,X101="1st half Handicap")),OR(AND(AX101&gt;20,U101&lt;T101,E101&gt;45),AND(AX101&lt;-20,U101&gt;T101,E101&lt;55))),AND(AND(A101-AY101&lt;200,A101-AY101&gt;9),OR(AND(A101&gt;75,X101="Final Handicap"),AND(A101&gt;25,X101="1st half Handicap")),OR(AND(BK101&gt;20,U101&lt;T101,E101&gt;45),AND(BK101&lt;-20,U101&gt;T101,E101&lt;55)))),"GOOD","")</f>
        <v/>
      </c>
      <c r="BS101" s="21"/>
    </row>
    <row r="102" spans="1:71" ht="17.25" x14ac:dyDescent="0.3">
      <c r="A102" s="3"/>
      <c r="D102" s="8" t="str">
        <f>IF(ISBLANK(T102),"",CONCATENATE(T102,"-",U102))</f>
        <v/>
      </c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>
        <f>IF(NOT(ISBLANK(G102)),ABS(G102),0)</f>
        <v>0</v>
      </c>
      <c r="BM102">
        <f>IF(NOT(ISBLANK(AK102)),ABS(AK102),0)</f>
        <v>0</v>
      </c>
      <c r="BN102">
        <f>IF(NOT(ISBLANK(AX102)),ABS(AX102),0)</f>
        <v>0</v>
      </c>
      <c r="BO102">
        <f>IF(NOT(ISBLANK(BK102)),ABS(BK102),0)</f>
        <v>0</v>
      </c>
      <c r="BP102">
        <f>IF(ISBLANK(E102),0,ABS(E102-50))</f>
        <v>0</v>
      </c>
      <c r="BQ102" s="21" t="str">
        <f>IF(OR(ISBLANK(V102),ISBLANK(W102)),"",IF(SUM(V102,W102)=0,"",CONCATENATE(V102,"-",W102)))</f>
        <v/>
      </c>
      <c r="BR102" s="21" t="str">
        <f>IF(OR(AND(OR(AND(A102&gt;75,X102="Final Handicap"),AND(A102&gt;25,X102="1st half Handicap")),OR(AND(G102&gt;20,U102&lt;T102,E102&gt;45),AND(G102&lt;-20,U102&gt;T102,E102&lt;55))),AND(AND(A102-Y102&lt;200,A102-Y102&gt;9),OR(AND(A102&gt;75,X102="Final Handicap"),AND(A102&gt;25,X102="1st half Handicap")),OR(AND(AK102&gt;20,U102&lt;T102,E102&gt;45),AND(AK102&lt;-20,U102&gt;T102,E102&lt;55))),AND(AND(A102-AL102&lt;200,A102-AL102&gt;9),OR(AND(A102&gt;75,X102="Final Handicap"),AND(A102&gt;25,X102="1st half Handicap")),OR(AND(AX102&gt;20,U102&lt;T102,E102&gt;45),AND(AX102&lt;-20,U102&gt;T102,E102&lt;55))),AND(AND(A102-AY102&lt;200,A102-AY102&gt;9),OR(AND(A102&gt;75,X102="Final Handicap"),AND(A102&gt;25,X102="1st half Handicap")),OR(AND(BK102&gt;20,U102&lt;T102,E102&gt;45),AND(BK102&lt;-20,U102&gt;T102,E102&lt;55)))),"GOOD","")</f>
        <v/>
      </c>
      <c r="BS102" s="21"/>
    </row>
    <row r="103" spans="1:71" ht="17.25" x14ac:dyDescent="0.3">
      <c r="A103" s="3"/>
      <c r="D103" s="8" t="str">
        <f>IF(ISBLANK(T103),"",CONCATENATE(T103,"-",U103))</f>
        <v/>
      </c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>
        <f>IF(NOT(ISBLANK(G103)),ABS(G103),0)</f>
        <v>0</v>
      </c>
      <c r="BM103">
        <f>IF(NOT(ISBLANK(AK103)),ABS(AK103),0)</f>
        <v>0</v>
      </c>
      <c r="BN103">
        <f>IF(NOT(ISBLANK(AX103)),ABS(AX103),0)</f>
        <v>0</v>
      </c>
      <c r="BO103">
        <f>IF(NOT(ISBLANK(BK103)),ABS(BK103),0)</f>
        <v>0</v>
      </c>
      <c r="BP103">
        <f>IF(ISBLANK(E103),0,ABS(E103-50))</f>
        <v>0</v>
      </c>
      <c r="BQ103" s="21" t="str">
        <f>IF(OR(ISBLANK(V103),ISBLANK(W103)),"",IF(SUM(V103,W103)=0,"",CONCATENATE(V103,"-",W103)))</f>
        <v/>
      </c>
      <c r="BR103" s="21" t="str">
        <f>IF(OR(AND(OR(AND(A103&gt;75,X103="Final Handicap"),AND(A103&gt;25,X103="1st half Handicap")),OR(AND(G103&gt;20,U103&lt;T103,E103&gt;45),AND(G103&lt;-20,U103&gt;T103,E103&lt;55))),AND(AND(A103-Y103&lt;200,A103-Y103&gt;9),OR(AND(A103&gt;75,X103="Final Handicap"),AND(A103&gt;25,X103="1st half Handicap")),OR(AND(AK103&gt;20,U103&lt;T103,E103&gt;45),AND(AK103&lt;-20,U103&gt;T103,E103&lt;55))),AND(AND(A103-AL103&lt;200,A103-AL103&gt;9),OR(AND(A103&gt;75,X103="Final Handicap"),AND(A103&gt;25,X103="1st half Handicap")),OR(AND(AX103&gt;20,U103&lt;T103,E103&gt;45),AND(AX103&lt;-20,U103&gt;T103,E103&lt;55))),AND(AND(A103-AY103&lt;200,A103-AY103&gt;9),OR(AND(A103&gt;75,X103="Final Handicap"),AND(A103&gt;25,X103="1st half Handicap")),OR(AND(BK103&gt;20,U103&lt;T103,E103&gt;45),AND(BK103&lt;-20,U103&gt;T103,E103&lt;55)))),"GOOD","")</f>
        <v/>
      </c>
      <c r="BS103" s="21"/>
    </row>
    <row r="104" spans="1:71" ht="17.25" x14ac:dyDescent="0.3">
      <c r="A104" s="3"/>
      <c r="D104" s="8" t="str">
        <f>IF(ISBLANK(T104),"",CONCATENATE(T104,"-",U104))</f>
        <v/>
      </c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>
        <f>IF(NOT(ISBLANK(G104)),ABS(G104),0)</f>
        <v>0</v>
      </c>
      <c r="BM104">
        <f>IF(NOT(ISBLANK(AK104)),ABS(AK104),0)</f>
        <v>0</v>
      </c>
      <c r="BN104">
        <f>IF(NOT(ISBLANK(AX104)),ABS(AX104),0)</f>
        <v>0</v>
      </c>
      <c r="BO104">
        <f>IF(NOT(ISBLANK(BK104)),ABS(BK104),0)</f>
        <v>0</v>
      </c>
      <c r="BP104">
        <f>IF(ISBLANK(E104),0,ABS(E104-50))</f>
        <v>0</v>
      </c>
      <c r="BQ104" s="21" t="str">
        <f>IF(OR(ISBLANK(V104),ISBLANK(W104)),"",IF(SUM(V104,W104)=0,"",CONCATENATE(V104,"-",W104)))</f>
        <v/>
      </c>
      <c r="BR104" s="21" t="str">
        <f>IF(OR(AND(OR(AND(A104&gt;75,X104="Final Handicap"),AND(A104&gt;25,X104="1st half Handicap")),OR(AND(G104&gt;20,U104&lt;T104,E104&gt;45),AND(G104&lt;-20,U104&gt;T104,E104&lt;55))),AND(AND(A104-Y104&lt;200,A104-Y104&gt;9),OR(AND(A104&gt;75,X104="Final Handicap"),AND(A104&gt;25,X104="1st half Handicap")),OR(AND(AK104&gt;20,U104&lt;T104,E104&gt;45),AND(AK104&lt;-20,U104&gt;T104,E104&lt;55))),AND(AND(A104-AL104&lt;200,A104-AL104&gt;9),OR(AND(A104&gt;75,X104="Final Handicap"),AND(A104&gt;25,X104="1st half Handicap")),OR(AND(AX104&gt;20,U104&lt;T104,E104&gt;45),AND(AX104&lt;-20,U104&gt;T104,E104&lt;55))),AND(AND(A104-AY104&lt;200,A104-AY104&gt;9),OR(AND(A104&gt;75,X104="Final Handicap"),AND(A104&gt;25,X104="1st half Handicap")),OR(AND(BK104&gt;20,U104&lt;T104,E104&gt;45),AND(BK104&lt;-20,U104&gt;T104,E104&lt;55)))),"GOOD","")</f>
        <v/>
      </c>
      <c r="BS104" s="21"/>
    </row>
    <row r="105" spans="1:71" ht="17.25" x14ac:dyDescent="0.3">
      <c r="A105" s="3"/>
      <c r="D105" s="8" t="str">
        <f>IF(ISBLANK(T105),"",CONCATENATE(T105,"-",U105))</f>
        <v/>
      </c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>
        <f>IF(NOT(ISBLANK(G105)),ABS(G105),0)</f>
        <v>0</v>
      </c>
      <c r="BM105">
        <f>IF(NOT(ISBLANK(AK105)),ABS(AK105),0)</f>
        <v>0</v>
      </c>
      <c r="BN105">
        <f>IF(NOT(ISBLANK(AX105)),ABS(AX105),0)</f>
        <v>0</v>
      </c>
      <c r="BO105">
        <f>IF(NOT(ISBLANK(BK105)),ABS(BK105),0)</f>
        <v>0</v>
      </c>
      <c r="BP105">
        <f>IF(ISBLANK(E105),0,ABS(E105-50))</f>
        <v>0</v>
      </c>
      <c r="BQ105" s="21" t="str">
        <f>IF(OR(ISBLANK(V105),ISBLANK(W105)),"",IF(SUM(V105,W105)=0,"",CONCATENATE(V105,"-",W105)))</f>
        <v/>
      </c>
      <c r="BR105" s="21" t="str">
        <f>IF(OR(AND(OR(AND(A105&gt;75,X105="Final Handicap"),AND(A105&gt;25,X105="1st half Handicap")),OR(AND(G105&gt;20,U105&lt;T105,E105&gt;45),AND(G105&lt;-20,U105&gt;T105,E105&lt;55))),AND(AND(A105-Y105&lt;200,A105-Y105&gt;9),OR(AND(A105&gt;75,X105="Final Handicap"),AND(A105&gt;25,X105="1st half Handicap")),OR(AND(AK105&gt;20,U105&lt;T105,E105&gt;45),AND(AK105&lt;-20,U105&gt;T105,E105&lt;55))),AND(AND(A105-AL105&lt;200,A105-AL105&gt;9),OR(AND(A105&gt;75,X105="Final Handicap"),AND(A105&gt;25,X105="1st half Handicap")),OR(AND(AX105&gt;20,U105&lt;T105,E105&gt;45),AND(AX105&lt;-20,U105&gt;T105,E105&lt;55))),AND(AND(A105-AY105&lt;200,A105-AY105&gt;9),OR(AND(A105&gt;75,X105="Final Handicap"),AND(A105&gt;25,X105="1st half Handicap")),OR(AND(BK105&gt;20,U105&lt;T105,E105&gt;45),AND(BK105&lt;-20,U105&gt;T105,E105&lt;55)))),"GOOD","")</f>
        <v/>
      </c>
      <c r="BS105" s="21"/>
    </row>
    <row r="106" spans="1:71" ht="17.25" x14ac:dyDescent="0.3">
      <c r="A106" s="3"/>
      <c r="D106" s="8" t="str">
        <f>IF(ISBLANK(T106),"",CONCATENATE(T106,"-",U106))</f>
        <v/>
      </c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>
        <f>IF(NOT(ISBLANK(G106)),ABS(G106),0)</f>
        <v>0</v>
      </c>
      <c r="BM106">
        <f>IF(NOT(ISBLANK(AK106)),ABS(AK106),0)</f>
        <v>0</v>
      </c>
      <c r="BN106">
        <f>IF(NOT(ISBLANK(AX106)),ABS(AX106),0)</f>
        <v>0</v>
      </c>
      <c r="BO106">
        <f>IF(NOT(ISBLANK(BK106)),ABS(BK106),0)</f>
        <v>0</v>
      </c>
      <c r="BP106">
        <f>IF(ISBLANK(E106),0,ABS(E106-50))</f>
        <v>0</v>
      </c>
      <c r="BQ106" s="21" t="str">
        <f>IF(OR(ISBLANK(V106),ISBLANK(W106)),"",IF(SUM(V106,W106)=0,"",CONCATENATE(V106,"-",W106)))</f>
        <v/>
      </c>
      <c r="BR106" s="21" t="str">
        <f>IF(OR(AND(OR(AND(A106&gt;75,X106="Final Handicap"),AND(A106&gt;25,X106="1st half Handicap")),OR(AND(G106&gt;20,U106&lt;T106,E106&gt;45),AND(G106&lt;-20,U106&gt;T106,E106&lt;55))),AND(AND(A106-Y106&lt;200,A106-Y106&gt;9),OR(AND(A106&gt;75,X106="Final Handicap"),AND(A106&gt;25,X106="1st half Handicap")),OR(AND(AK106&gt;20,U106&lt;T106,E106&gt;45),AND(AK106&lt;-20,U106&gt;T106,E106&lt;55))),AND(AND(A106-AL106&lt;200,A106-AL106&gt;9),OR(AND(A106&gt;75,X106="Final Handicap"),AND(A106&gt;25,X106="1st half Handicap")),OR(AND(AX106&gt;20,U106&lt;T106,E106&gt;45),AND(AX106&lt;-20,U106&gt;T106,E106&lt;55))),AND(AND(A106-AY106&lt;200,A106-AY106&gt;9),OR(AND(A106&gt;75,X106="Final Handicap"),AND(A106&gt;25,X106="1st half Handicap")),OR(AND(BK106&gt;20,U106&lt;T106,E106&gt;45),AND(BK106&lt;-20,U106&gt;T106,E106&lt;55)))),"GOOD","")</f>
        <v/>
      </c>
      <c r="BS106" s="21"/>
    </row>
    <row r="107" spans="1:71" ht="17.25" x14ac:dyDescent="0.3">
      <c r="A107" s="3"/>
      <c r="D107" s="8" t="str">
        <f>IF(ISBLANK(T107),"",CONCATENATE(T107,"-",U107))</f>
        <v/>
      </c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>
        <f>IF(NOT(ISBLANK(G107)),ABS(G107),0)</f>
        <v>0</v>
      </c>
      <c r="BM107">
        <f>IF(NOT(ISBLANK(AK107)),ABS(AK107),0)</f>
        <v>0</v>
      </c>
      <c r="BN107">
        <f>IF(NOT(ISBLANK(AX107)),ABS(AX107),0)</f>
        <v>0</v>
      </c>
      <c r="BO107">
        <f>IF(NOT(ISBLANK(BK107)),ABS(BK107),0)</f>
        <v>0</v>
      </c>
      <c r="BP107">
        <f>IF(ISBLANK(E107),0,ABS(E107-50))</f>
        <v>0</v>
      </c>
      <c r="BQ107" s="21" t="str">
        <f>IF(OR(ISBLANK(V107),ISBLANK(W107)),"",IF(SUM(V107,W107)=0,"",CONCATENATE(V107,"-",W107)))</f>
        <v/>
      </c>
      <c r="BR107" s="21" t="str">
        <f>IF(OR(AND(OR(AND(A107&gt;75,X107="Final Handicap"),AND(A107&gt;25,X107="1st half Handicap")),OR(AND(G107&gt;20,U107&lt;T107,E107&gt;45),AND(G107&lt;-20,U107&gt;T107,E107&lt;55))),AND(AND(A107-Y107&lt;200,A107-Y107&gt;9),OR(AND(A107&gt;75,X107="Final Handicap"),AND(A107&gt;25,X107="1st half Handicap")),OR(AND(AK107&gt;20,U107&lt;T107,E107&gt;45),AND(AK107&lt;-20,U107&gt;T107,E107&lt;55))),AND(AND(A107-AL107&lt;200,A107-AL107&gt;9),OR(AND(A107&gt;75,X107="Final Handicap"),AND(A107&gt;25,X107="1st half Handicap")),OR(AND(AX107&gt;20,U107&lt;T107,E107&gt;45),AND(AX107&lt;-20,U107&gt;T107,E107&lt;55))),AND(AND(A107-AY107&lt;200,A107-AY107&gt;9),OR(AND(A107&gt;75,X107="Final Handicap"),AND(A107&gt;25,X107="1st half Handicap")),OR(AND(BK107&gt;20,U107&lt;T107,E107&gt;45),AND(BK107&lt;-20,U107&gt;T107,E107&lt;55)))),"GOOD","")</f>
        <v/>
      </c>
      <c r="BS107" s="21"/>
    </row>
    <row r="108" spans="1:71" ht="17.25" x14ac:dyDescent="0.3">
      <c r="A108" s="3"/>
      <c r="D108" s="8" t="str">
        <f>IF(ISBLANK(T108),"",CONCATENATE(T108,"-",U108))</f>
        <v/>
      </c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>
        <f>IF(NOT(ISBLANK(G108)),ABS(G108),0)</f>
        <v>0</v>
      </c>
      <c r="BM108">
        <f>IF(NOT(ISBLANK(AK108)),ABS(AK108),0)</f>
        <v>0</v>
      </c>
      <c r="BN108">
        <f>IF(NOT(ISBLANK(AX108)),ABS(AX108),0)</f>
        <v>0</v>
      </c>
      <c r="BO108">
        <f>IF(NOT(ISBLANK(BK108)),ABS(BK108),0)</f>
        <v>0</v>
      </c>
      <c r="BP108">
        <f>IF(ISBLANK(E108),0,ABS(E108-50))</f>
        <v>0</v>
      </c>
      <c r="BQ108" s="21" t="str">
        <f>IF(OR(ISBLANK(V108),ISBLANK(W108)),"",IF(SUM(V108,W108)=0,"",CONCATENATE(V108,"-",W108)))</f>
        <v/>
      </c>
      <c r="BR108" s="21" t="str">
        <f>IF(OR(AND(OR(AND(A108&gt;75,X108="Final Handicap"),AND(A108&gt;25,X108="1st half Handicap")),OR(AND(G108&gt;20,U108&lt;T108,E108&gt;45),AND(G108&lt;-20,U108&gt;T108,E108&lt;55))),AND(AND(A108-Y108&lt;200,A108-Y108&gt;9),OR(AND(A108&gt;75,X108="Final Handicap"),AND(A108&gt;25,X108="1st half Handicap")),OR(AND(AK108&gt;20,U108&lt;T108,E108&gt;45),AND(AK108&lt;-20,U108&gt;T108,E108&lt;55))),AND(AND(A108-AL108&lt;200,A108-AL108&gt;9),OR(AND(A108&gt;75,X108="Final Handicap"),AND(A108&gt;25,X108="1st half Handicap")),OR(AND(AX108&gt;20,U108&lt;T108,E108&gt;45),AND(AX108&lt;-20,U108&gt;T108,E108&lt;55))),AND(AND(A108-AY108&lt;200,A108-AY108&gt;9),OR(AND(A108&gt;75,X108="Final Handicap"),AND(A108&gt;25,X108="1st half Handicap")),OR(AND(BK108&gt;20,U108&lt;T108,E108&gt;45),AND(BK108&lt;-20,U108&gt;T108,E108&lt;55)))),"GOOD","")</f>
        <v/>
      </c>
      <c r="BS108" s="21"/>
    </row>
    <row r="109" spans="1:71" ht="17.25" x14ac:dyDescent="0.3">
      <c r="A109" s="3"/>
      <c r="D109" s="8" t="str">
        <f>IF(ISBLANK(T109),"",CONCATENATE(T109,"-",U109))</f>
        <v/>
      </c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>
        <f>IF(NOT(ISBLANK(G109)),ABS(G109),0)</f>
        <v>0</v>
      </c>
      <c r="BM109">
        <f>IF(NOT(ISBLANK(AK109)),ABS(AK109),0)</f>
        <v>0</v>
      </c>
      <c r="BN109">
        <f>IF(NOT(ISBLANK(AX109)),ABS(AX109),0)</f>
        <v>0</v>
      </c>
      <c r="BO109">
        <f>IF(NOT(ISBLANK(BK109)),ABS(BK109),0)</f>
        <v>0</v>
      </c>
      <c r="BP109">
        <f>IF(ISBLANK(E109),0,ABS(E109-50))</f>
        <v>0</v>
      </c>
      <c r="BQ109" s="21" t="str">
        <f>IF(OR(ISBLANK(V109),ISBLANK(W109)),"",IF(SUM(V109,W109)=0,"",CONCATENATE(V109,"-",W109)))</f>
        <v/>
      </c>
      <c r="BR109" s="21" t="str">
        <f>IF(OR(AND(OR(AND(A109&gt;75,X109="Final Handicap"),AND(A109&gt;25,X109="1st half Handicap")),OR(AND(G109&gt;20,U109&lt;T109,E109&gt;45),AND(G109&lt;-20,U109&gt;T109,E109&lt;55))),AND(AND(A109-Y109&lt;200,A109-Y109&gt;9),OR(AND(A109&gt;75,X109="Final Handicap"),AND(A109&gt;25,X109="1st half Handicap")),OR(AND(AK109&gt;20,U109&lt;T109,E109&gt;45),AND(AK109&lt;-20,U109&gt;T109,E109&lt;55))),AND(AND(A109-AL109&lt;200,A109-AL109&gt;9),OR(AND(A109&gt;75,X109="Final Handicap"),AND(A109&gt;25,X109="1st half Handicap")),OR(AND(AX109&gt;20,U109&lt;T109,E109&gt;45),AND(AX109&lt;-20,U109&gt;T109,E109&lt;55))),AND(AND(A109-AY109&lt;200,A109-AY109&gt;9),OR(AND(A109&gt;75,X109="Final Handicap"),AND(A109&gt;25,X109="1st half Handicap")),OR(AND(BK109&gt;20,U109&lt;T109,E109&gt;45),AND(BK109&lt;-20,U109&gt;T109,E109&lt;55)))),"GOOD","")</f>
        <v/>
      </c>
      <c r="BS109" s="21"/>
    </row>
    <row r="110" spans="1:71" ht="17.25" x14ac:dyDescent="0.3">
      <c r="A110" s="3"/>
      <c r="D110" s="8" t="str">
        <f>IF(ISBLANK(T110),"",CONCATENATE(T110,"-",U110))</f>
        <v/>
      </c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>
        <f>IF(NOT(ISBLANK(G110)),ABS(G110),0)</f>
        <v>0</v>
      </c>
      <c r="BM110">
        <f>IF(NOT(ISBLANK(AK110)),ABS(AK110),0)</f>
        <v>0</v>
      </c>
      <c r="BN110">
        <f>IF(NOT(ISBLANK(AX110)),ABS(AX110),0)</f>
        <v>0</v>
      </c>
      <c r="BO110">
        <f>IF(NOT(ISBLANK(BK110)),ABS(BK110),0)</f>
        <v>0</v>
      </c>
      <c r="BP110">
        <f>IF(ISBLANK(E110),0,ABS(E110-50))</f>
        <v>0</v>
      </c>
      <c r="BQ110" s="21" t="str">
        <f>IF(OR(ISBLANK(V110),ISBLANK(W110)),"",IF(SUM(V110,W110)=0,"",CONCATENATE(V110,"-",W110)))</f>
        <v/>
      </c>
      <c r="BR110" s="21" t="str">
        <f>IF(OR(AND(OR(AND(A110&gt;75,X110="Final Handicap"),AND(A110&gt;25,X110="1st half Handicap")),OR(AND(G110&gt;20,U110&lt;T110,E110&gt;45),AND(G110&lt;-20,U110&gt;T110,E110&lt;55))),AND(AND(A110-Y110&lt;200,A110-Y110&gt;9),OR(AND(A110&gt;75,X110="Final Handicap"),AND(A110&gt;25,X110="1st half Handicap")),OR(AND(AK110&gt;20,U110&lt;T110,E110&gt;45),AND(AK110&lt;-20,U110&gt;T110,E110&lt;55))),AND(AND(A110-AL110&lt;200,A110-AL110&gt;9),OR(AND(A110&gt;75,X110="Final Handicap"),AND(A110&gt;25,X110="1st half Handicap")),OR(AND(AX110&gt;20,U110&lt;T110,E110&gt;45),AND(AX110&lt;-20,U110&gt;T110,E110&lt;55))),AND(AND(A110-AY110&lt;200,A110-AY110&gt;9),OR(AND(A110&gt;75,X110="Final Handicap"),AND(A110&gt;25,X110="1st half Handicap")),OR(AND(BK110&gt;20,U110&lt;T110,E110&gt;45),AND(BK110&lt;-20,U110&gt;T110,E110&lt;55)))),"GOOD","")</f>
        <v/>
      </c>
      <c r="BS110" s="21"/>
    </row>
    <row r="111" spans="1:71" ht="17.25" x14ac:dyDescent="0.3">
      <c r="A111" s="3"/>
      <c r="D111" s="8" t="str">
        <f>IF(ISBLANK(T111),"",CONCATENATE(T111,"-",U111))</f>
        <v/>
      </c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>
        <f>IF(NOT(ISBLANK(G111)),ABS(G111),0)</f>
        <v>0</v>
      </c>
      <c r="BM111">
        <f>IF(NOT(ISBLANK(AK111)),ABS(AK111),0)</f>
        <v>0</v>
      </c>
      <c r="BN111">
        <f>IF(NOT(ISBLANK(AX111)),ABS(AX111),0)</f>
        <v>0</v>
      </c>
      <c r="BO111">
        <f>IF(NOT(ISBLANK(BK111)),ABS(BK111),0)</f>
        <v>0</v>
      </c>
      <c r="BP111">
        <f>IF(ISBLANK(E111),0,ABS(E111-50))</f>
        <v>0</v>
      </c>
      <c r="BQ111" s="21" t="str">
        <f>IF(OR(ISBLANK(V111),ISBLANK(W111)),"",IF(SUM(V111,W111)=0,"",CONCATENATE(V111,"-",W111)))</f>
        <v/>
      </c>
      <c r="BR111" s="21" t="str">
        <f>IF(OR(AND(OR(AND(A111&gt;75,X111="Final Handicap"),AND(A111&gt;25,X111="1st half Handicap")),OR(AND(G111&gt;20,U111&lt;T111,E111&gt;45),AND(G111&lt;-20,U111&gt;T111,E111&lt;55))),AND(AND(A111-Y111&lt;200,A111-Y111&gt;9),OR(AND(A111&gt;75,X111="Final Handicap"),AND(A111&gt;25,X111="1st half Handicap")),OR(AND(AK111&gt;20,U111&lt;T111,E111&gt;45),AND(AK111&lt;-20,U111&gt;T111,E111&lt;55))),AND(AND(A111-AL111&lt;200,A111-AL111&gt;9),OR(AND(A111&gt;75,X111="Final Handicap"),AND(A111&gt;25,X111="1st half Handicap")),OR(AND(AX111&gt;20,U111&lt;T111,E111&gt;45),AND(AX111&lt;-20,U111&gt;T111,E111&lt;55))),AND(AND(A111-AY111&lt;200,A111-AY111&gt;9),OR(AND(A111&gt;75,X111="Final Handicap"),AND(A111&gt;25,X111="1st half Handicap")),OR(AND(BK111&gt;20,U111&lt;T111,E111&gt;45),AND(BK111&lt;-20,U111&gt;T111,E111&lt;55)))),"GOOD","")</f>
        <v/>
      </c>
      <c r="BS111" s="21"/>
    </row>
    <row r="112" spans="1:71" ht="17.25" x14ac:dyDescent="0.3">
      <c r="A112" s="3"/>
      <c r="D112" s="8" t="str">
        <f>IF(ISBLANK(T112),"",CONCATENATE(T112,"-",U112))</f>
        <v/>
      </c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>
        <f>IF(NOT(ISBLANK(G112)),ABS(G112),0)</f>
        <v>0</v>
      </c>
      <c r="BM112">
        <f>IF(NOT(ISBLANK(AK112)),ABS(AK112),0)</f>
        <v>0</v>
      </c>
      <c r="BN112">
        <f>IF(NOT(ISBLANK(AX112)),ABS(AX112),0)</f>
        <v>0</v>
      </c>
      <c r="BO112">
        <f>IF(NOT(ISBLANK(BK112)),ABS(BK112),0)</f>
        <v>0</v>
      </c>
      <c r="BP112">
        <f>IF(ISBLANK(E112),0,ABS(E112-50))</f>
        <v>0</v>
      </c>
      <c r="BQ112" s="21" t="str">
        <f>IF(OR(ISBLANK(V112),ISBLANK(W112)),"",IF(SUM(V112,W112)=0,"",CONCATENATE(V112,"-",W112)))</f>
        <v/>
      </c>
      <c r="BR112" s="21" t="str">
        <f>IF(OR(AND(OR(AND(A112&gt;75,X112="Final Handicap"),AND(A112&gt;25,X112="1st half Handicap")),OR(AND(G112&gt;20,U112&lt;T112,E112&gt;45),AND(G112&lt;-20,U112&gt;T112,E112&lt;55))),AND(AND(A112-Y112&lt;200,A112-Y112&gt;9),OR(AND(A112&gt;75,X112="Final Handicap"),AND(A112&gt;25,X112="1st half Handicap")),OR(AND(AK112&gt;20,U112&lt;T112,E112&gt;45),AND(AK112&lt;-20,U112&gt;T112,E112&lt;55))),AND(AND(A112-AL112&lt;200,A112-AL112&gt;9),OR(AND(A112&gt;75,X112="Final Handicap"),AND(A112&gt;25,X112="1st half Handicap")),OR(AND(AX112&gt;20,U112&lt;T112,E112&gt;45),AND(AX112&lt;-20,U112&gt;T112,E112&lt;55))),AND(AND(A112-AY112&lt;200,A112-AY112&gt;9),OR(AND(A112&gt;75,X112="Final Handicap"),AND(A112&gt;25,X112="1st half Handicap")),OR(AND(BK112&gt;20,U112&lt;T112,E112&gt;45),AND(BK112&lt;-20,U112&gt;T112,E112&lt;55)))),"GOOD","")</f>
        <v/>
      </c>
      <c r="BS112" s="21"/>
    </row>
    <row r="113" spans="1:71" ht="17.25" x14ac:dyDescent="0.3">
      <c r="A113" s="3"/>
      <c r="D113" s="8" t="str">
        <f>IF(ISBLANK(T113),"",CONCATENATE(T113,"-",U113))</f>
        <v/>
      </c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>
        <f>IF(NOT(ISBLANK(G113)),ABS(G113),0)</f>
        <v>0</v>
      </c>
      <c r="BM113">
        <f>IF(NOT(ISBLANK(AK113)),ABS(AK113),0)</f>
        <v>0</v>
      </c>
      <c r="BN113">
        <f>IF(NOT(ISBLANK(AX113)),ABS(AX113),0)</f>
        <v>0</v>
      </c>
      <c r="BO113">
        <f>IF(NOT(ISBLANK(BK113)),ABS(BK113),0)</f>
        <v>0</v>
      </c>
      <c r="BP113">
        <f>IF(ISBLANK(E113),0,ABS(E113-50))</f>
        <v>0</v>
      </c>
      <c r="BQ113" s="21" t="str">
        <f>IF(OR(ISBLANK(V113),ISBLANK(W113)),"",IF(SUM(V113,W113)=0,"",CONCATENATE(V113,"-",W113)))</f>
        <v/>
      </c>
      <c r="BR113" s="21" t="str">
        <f>IF(OR(AND(OR(AND(A113&gt;75,X113="Final Handicap"),AND(A113&gt;25,X113="1st half Handicap")),OR(AND(G113&gt;20,U113&lt;T113,E113&gt;45),AND(G113&lt;-20,U113&gt;T113,E113&lt;55))),AND(AND(A113-Y113&lt;200,A113-Y113&gt;9),OR(AND(A113&gt;75,X113="Final Handicap"),AND(A113&gt;25,X113="1st half Handicap")),OR(AND(AK113&gt;20,U113&lt;T113,E113&gt;45),AND(AK113&lt;-20,U113&gt;T113,E113&lt;55))),AND(AND(A113-AL113&lt;200,A113-AL113&gt;9),OR(AND(A113&gt;75,X113="Final Handicap"),AND(A113&gt;25,X113="1st half Handicap")),OR(AND(AX113&gt;20,U113&lt;T113,E113&gt;45),AND(AX113&lt;-20,U113&gt;T113,E113&lt;55))),AND(AND(A113-AY113&lt;200,A113-AY113&gt;9),OR(AND(A113&gt;75,X113="Final Handicap"),AND(A113&gt;25,X113="1st half Handicap")),OR(AND(BK113&gt;20,U113&lt;T113,E113&gt;45),AND(BK113&lt;-20,U113&gt;T113,E113&lt;55)))),"GOOD","")</f>
        <v/>
      </c>
      <c r="BS113" s="21"/>
    </row>
    <row r="114" spans="1:71" ht="17.25" x14ac:dyDescent="0.3">
      <c r="A114" s="3"/>
      <c r="D114" s="8" t="str">
        <f>IF(ISBLANK(T114),"",CONCATENATE(T114,"-",U114))</f>
        <v/>
      </c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>
        <f>IF(NOT(ISBLANK(G114)),ABS(G114),0)</f>
        <v>0</v>
      </c>
      <c r="BM114">
        <f>IF(NOT(ISBLANK(AK114)),ABS(AK114),0)</f>
        <v>0</v>
      </c>
      <c r="BN114">
        <f>IF(NOT(ISBLANK(AX114)),ABS(AX114),0)</f>
        <v>0</v>
      </c>
      <c r="BO114">
        <f>IF(NOT(ISBLANK(BK114)),ABS(BK114),0)</f>
        <v>0</v>
      </c>
      <c r="BP114">
        <f>IF(ISBLANK(E114),0,ABS(E114-50))</f>
        <v>0</v>
      </c>
      <c r="BQ114" s="21" t="str">
        <f>IF(OR(ISBLANK(V114),ISBLANK(W114)),"",IF(SUM(V114,W114)=0,"",CONCATENATE(V114,"-",W114)))</f>
        <v/>
      </c>
      <c r="BR114" s="21" t="str">
        <f>IF(OR(AND(OR(AND(A114&gt;75,X114="Final Handicap"),AND(A114&gt;25,X114="1st half Handicap")),OR(AND(G114&gt;20,U114&lt;T114,E114&gt;45),AND(G114&lt;-20,U114&gt;T114,E114&lt;55))),AND(AND(A114-Y114&lt;200,A114-Y114&gt;9),OR(AND(A114&gt;75,X114="Final Handicap"),AND(A114&gt;25,X114="1st half Handicap")),OR(AND(AK114&gt;20,U114&lt;T114,E114&gt;45),AND(AK114&lt;-20,U114&gt;T114,E114&lt;55))),AND(AND(A114-AL114&lt;200,A114-AL114&gt;9),OR(AND(A114&gt;75,X114="Final Handicap"),AND(A114&gt;25,X114="1st half Handicap")),OR(AND(AX114&gt;20,U114&lt;T114,E114&gt;45),AND(AX114&lt;-20,U114&gt;T114,E114&lt;55))),AND(AND(A114-AY114&lt;200,A114-AY114&gt;9),OR(AND(A114&gt;75,X114="Final Handicap"),AND(A114&gt;25,X114="1st half Handicap")),OR(AND(BK114&gt;20,U114&lt;T114,E114&gt;45),AND(BK114&lt;-20,U114&gt;T114,E114&lt;55)))),"GOOD","")</f>
        <v/>
      </c>
      <c r="BS114" s="21"/>
    </row>
    <row r="115" spans="1:71" ht="17.25" x14ac:dyDescent="0.3">
      <c r="A115" s="3"/>
      <c r="D115" s="8" t="str">
        <f>IF(ISBLANK(T115),"",CONCATENATE(T115,"-",U115))</f>
        <v/>
      </c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>
        <f>IF(NOT(ISBLANK(G115)),ABS(G115),0)</f>
        <v>0</v>
      </c>
      <c r="BM115">
        <f>IF(NOT(ISBLANK(AK115)),ABS(AK115),0)</f>
        <v>0</v>
      </c>
      <c r="BN115">
        <f>IF(NOT(ISBLANK(AX115)),ABS(AX115),0)</f>
        <v>0</v>
      </c>
      <c r="BO115">
        <f>IF(NOT(ISBLANK(BK115)),ABS(BK115),0)</f>
        <v>0</v>
      </c>
      <c r="BP115">
        <f>IF(ISBLANK(E115),0,ABS(E115-50))</f>
        <v>0</v>
      </c>
      <c r="BQ115" s="22" t="str">
        <f>IF(OR(ISBLANK(V115),ISBLANK(W115)),"",IF(SUM(V115,W115)=0,"",CONCATENATE(V115,"-",W115)))</f>
        <v/>
      </c>
      <c r="BR115" s="21" t="str">
        <f>IF(OR(AND(OR(AND(A115&gt;75,X115="Final Handicap"),AND(A115&gt;25,X115="1st half Handicap")),OR(AND(G115&gt;20,U115&lt;T115,E115&gt;45),AND(G115&lt;-20,U115&gt;T115,E115&lt;55))),AND(AND(A115-Y115&lt;200,A115-Y115&gt;9),OR(AND(A115&gt;75,X115="Final Handicap"),AND(A115&gt;25,X115="1st half Handicap")),OR(AND(AK115&gt;20,U115&lt;T115,E115&gt;45),AND(AK115&lt;-20,U115&gt;T115,E115&lt;55))),AND(AND(A115-AL115&lt;200,A115-AL115&gt;9),OR(AND(A115&gt;75,X115="Final Handicap"),AND(A115&gt;25,X115="1st half Handicap")),OR(AND(AX115&gt;20,U115&lt;T115,E115&gt;45),AND(AX115&lt;-20,U115&gt;T115,E115&lt;55))),AND(AND(A115-AY115&lt;200,A115-AY115&gt;9),OR(AND(A115&gt;75,X115="Final Handicap"),AND(A115&gt;25,X115="1st half Handicap")),OR(AND(BK115&gt;20,U115&lt;T115,E115&gt;45),AND(BK115&lt;-20,U115&gt;T115,E115&lt;55)))),"GOOD","")</f>
        <v/>
      </c>
      <c r="BS115" s="21"/>
    </row>
    <row r="116" spans="1:71" ht="17.25" x14ac:dyDescent="0.3">
      <c r="A116" s="3"/>
      <c r="D116" s="8" t="str">
        <f>IF(ISBLANK(T116),"",CONCATENATE(T116,"-",U116))</f>
        <v/>
      </c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>
        <f>IF(NOT(ISBLANK(G116)),ABS(G116),0)</f>
        <v>0</v>
      </c>
      <c r="BM116">
        <f>IF(NOT(ISBLANK(AK116)),ABS(AK116),0)</f>
        <v>0</v>
      </c>
      <c r="BN116">
        <f>IF(NOT(ISBLANK(AX116)),ABS(AX116),0)</f>
        <v>0</v>
      </c>
      <c r="BO116">
        <f>IF(NOT(ISBLANK(BK116)),ABS(BK116),0)</f>
        <v>0</v>
      </c>
      <c r="BP116">
        <f>IF(ISBLANK(E116),0,ABS(E116-50))</f>
        <v>0</v>
      </c>
      <c r="BQ116" s="21" t="str">
        <f>IF(OR(ISBLANK(V116),ISBLANK(W116)),"",IF(SUM(V116,W116)=0,"",CONCATENATE(V116,"-",W116)))</f>
        <v/>
      </c>
      <c r="BR116" s="21" t="str">
        <f>IF(OR(AND(OR(AND(A116&gt;75,X116="Final Handicap"),AND(A116&gt;25,X116="1st half Handicap")),OR(AND(G116&gt;20,U116&lt;T116,E116&gt;45),AND(G116&lt;-20,U116&gt;T116,E116&lt;55))),AND(AND(A116-Y116&lt;200,A116-Y116&gt;9),OR(AND(A116&gt;75,X116="Final Handicap"),AND(A116&gt;25,X116="1st half Handicap")),OR(AND(AK116&gt;20,U116&lt;T116,E116&gt;45),AND(AK116&lt;-20,U116&gt;T116,E116&lt;55))),AND(AND(A116-AL116&lt;200,A116-AL116&gt;9),OR(AND(A116&gt;75,X116="Final Handicap"),AND(A116&gt;25,X116="1st half Handicap")),OR(AND(AX116&gt;20,U116&lt;T116,E116&gt;45),AND(AX116&lt;-20,U116&gt;T116,E116&lt;55))),AND(AND(A116-AY116&lt;200,A116-AY116&gt;9),OR(AND(A116&gt;75,X116="Final Handicap"),AND(A116&gt;25,X116="1st half Handicap")),OR(AND(BK116&gt;20,U116&lt;T116,E116&gt;45),AND(BK116&lt;-20,U116&gt;T116,E116&lt;55)))),"GOOD","")</f>
        <v/>
      </c>
      <c r="BS116" s="21"/>
    </row>
    <row r="117" spans="1:71" ht="17.25" x14ac:dyDescent="0.3">
      <c r="A117" s="3"/>
      <c r="D117" s="8" t="str">
        <f>IF(ISBLANK(T117),"",CONCATENATE(T117,"-",U117))</f>
        <v/>
      </c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>
        <f>IF(NOT(ISBLANK(G117)),ABS(G117),0)</f>
        <v>0</v>
      </c>
      <c r="BM117">
        <f>IF(NOT(ISBLANK(AK117)),ABS(AK117),0)</f>
        <v>0</v>
      </c>
      <c r="BN117">
        <f>IF(NOT(ISBLANK(AX117)),ABS(AX117),0)</f>
        <v>0</v>
      </c>
      <c r="BO117">
        <f>IF(NOT(ISBLANK(BK117)),ABS(BK117),0)</f>
        <v>0</v>
      </c>
      <c r="BP117">
        <f>IF(ISBLANK(E117),0,ABS(E117-50))</f>
        <v>0</v>
      </c>
      <c r="BQ117" s="21" t="str">
        <f>IF(OR(ISBLANK(V117),ISBLANK(W117)),"",IF(SUM(V117,W117)=0,"",CONCATENATE(V117,"-",W117)))</f>
        <v/>
      </c>
      <c r="BR117" s="21" t="str">
        <f>IF(OR(AND(OR(AND(A117&gt;75,X117="Final Handicap"),AND(A117&gt;25,X117="1st half Handicap")),OR(AND(G117&gt;20,U117&lt;T117,E117&gt;45),AND(G117&lt;-20,U117&gt;T117,E117&lt;55))),AND(AND(A117-Y117&lt;200,A117-Y117&gt;9),OR(AND(A117&gt;75,X117="Final Handicap"),AND(A117&gt;25,X117="1st half Handicap")),OR(AND(AK117&gt;20,U117&lt;T117,E117&gt;45),AND(AK117&lt;-20,U117&gt;T117,E117&lt;55))),AND(AND(A117-AL117&lt;200,A117-AL117&gt;9),OR(AND(A117&gt;75,X117="Final Handicap"),AND(A117&gt;25,X117="1st half Handicap")),OR(AND(AX117&gt;20,U117&lt;T117,E117&gt;45),AND(AX117&lt;-20,U117&gt;T117,E117&lt;55))),AND(AND(A117-AY117&lt;200,A117-AY117&gt;9),OR(AND(A117&gt;75,X117="Final Handicap"),AND(A117&gt;25,X117="1st half Handicap")),OR(AND(BK117&gt;20,U117&lt;T117,E117&gt;45),AND(BK117&lt;-20,U117&gt;T117,E117&lt;55)))),"GOOD","")</f>
        <v/>
      </c>
      <c r="BS117" s="21"/>
    </row>
    <row r="118" spans="1:71" ht="17.25" x14ac:dyDescent="0.3">
      <c r="A118" s="3"/>
      <c r="D118" s="8" t="str">
        <f>IF(ISBLANK(T118),"",CONCATENATE(T118,"-",U118))</f>
        <v/>
      </c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>
        <f>IF(NOT(ISBLANK(G118)),ABS(G118),0)</f>
        <v>0</v>
      </c>
      <c r="BM118">
        <f>IF(NOT(ISBLANK(AK118)),ABS(AK118),0)</f>
        <v>0</v>
      </c>
      <c r="BN118">
        <f>IF(NOT(ISBLANK(AX118)),ABS(AX118),0)</f>
        <v>0</v>
      </c>
      <c r="BO118">
        <f>IF(NOT(ISBLANK(BK118)),ABS(BK118),0)</f>
        <v>0</v>
      </c>
      <c r="BP118">
        <f>IF(ISBLANK(E118),0,ABS(E118-50))</f>
        <v>0</v>
      </c>
      <c r="BQ118" s="21" t="str">
        <f>IF(OR(ISBLANK(V118),ISBLANK(W118)),"",IF(SUM(V118,W118)=0,"",CONCATENATE(V118,"-",W118)))</f>
        <v/>
      </c>
      <c r="BR118" s="21" t="str">
        <f>IF(OR(AND(OR(AND(A118&gt;75,X118="Final Handicap"),AND(A118&gt;25,X118="1st half Handicap")),OR(AND(G118&gt;20,U118&lt;T118,E118&gt;45),AND(G118&lt;-20,U118&gt;T118,E118&lt;55))),AND(AND(A118-Y118&lt;200,A118-Y118&gt;9),OR(AND(A118&gt;75,X118="Final Handicap"),AND(A118&gt;25,X118="1st half Handicap")),OR(AND(AK118&gt;20,U118&lt;T118,E118&gt;45),AND(AK118&lt;-20,U118&gt;T118,E118&lt;55))),AND(AND(A118-AL118&lt;200,A118-AL118&gt;9),OR(AND(A118&gt;75,X118="Final Handicap"),AND(A118&gt;25,X118="1st half Handicap")),OR(AND(AX118&gt;20,U118&lt;T118,E118&gt;45),AND(AX118&lt;-20,U118&gt;T118,E118&lt;55))),AND(AND(A118-AY118&lt;200,A118-AY118&gt;9),OR(AND(A118&gt;75,X118="Final Handicap"),AND(A118&gt;25,X118="1st half Handicap")),OR(AND(BK118&gt;20,U118&lt;T118,E118&gt;45),AND(BK118&lt;-20,U118&gt;T118,E118&lt;55)))),"GOOD","")</f>
        <v/>
      </c>
      <c r="BS118" s="21"/>
    </row>
    <row r="119" spans="1:71" ht="17.25" x14ac:dyDescent="0.3">
      <c r="A119" s="3"/>
      <c r="D119" s="8" t="str">
        <f>IF(ISBLANK(T119),"",CONCATENATE(T119,"-",U119))</f>
        <v/>
      </c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>
        <f>IF(NOT(ISBLANK(G119)),ABS(G119),0)</f>
        <v>0</v>
      </c>
      <c r="BM119">
        <f>IF(NOT(ISBLANK(AK119)),ABS(AK119),0)</f>
        <v>0</v>
      </c>
      <c r="BN119">
        <f>IF(NOT(ISBLANK(AX119)),ABS(AX119),0)</f>
        <v>0</v>
      </c>
      <c r="BO119">
        <f>IF(NOT(ISBLANK(BK119)),ABS(BK119),0)</f>
        <v>0</v>
      </c>
      <c r="BP119">
        <f>IF(ISBLANK(E119),0,ABS(E119-50))</f>
        <v>0</v>
      </c>
      <c r="BQ119" s="21" t="str">
        <f>IF(OR(ISBLANK(V119),ISBLANK(W119)),"",IF(SUM(V119,W119)=0,"",CONCATENATE(V119,"-",W119)))</f>
        <v/>
      </c>
      <c r="BR119" s="21" t="str">
        <f>IF(OR(AND(OR(AND(A119&gt;75,X119="Final Handicap"),AND(A119&gt;25,X119="1st half Handicap")),OR(AND(G119&gt;20,U119&lt;T119,E119&gt;45),AND(G119&lt;-20,U119&gt;T119,E119&lt;55))),AND(AND(A119-Y119&lt;200,A119-Y119&gt;9),OR(AND(A119&gt;75,X119="Final Handicap"),AND(A119&gt;25,X119="1st half Handicap")),OR(AND(AK119&gt;20,U119&lt;T119,E119&gt;45),AND(AK119&lt;-20,U119&gt;T119,E119&lt;55))),AND(AND(A119-AL119&lt;200,A119-AL119&gt;9),OR(AND(A119&gt;75,X119="Final Handicap"),AND(A119&gt;25,X119="1st half Handicap")),OR(AND(AX119&gt;20,U119&lt;T119,E119&gt;45),AND(AX119&lt;-20,U119&gt;T119,E119&lt;55))),AND(AND(A119-AY119&lt;200,A119-AY119&gt;9),OR(AND(A119&gt;75,X119="Final Handicap"),AND(A119&gt;25,X119="1st half Handicap")),OR(AND(BK119&gt;20,U119&lt;T119,E119&gt;45),AND(BK119&lt;-20,U119&gt;T119,E119&lt;55)))),"GOOD","")</f>
        <v/>
      </c>
      <c r="BS119" s="21"/>
    </row>
    <row r="120" spans="1:71" ht="17.25" x14ac:dyDescent="0.3">
      <c r="A120" s="3"/>
      <c r="D120" s="8" t="str">
        <f>IF(ISBLANK(T120),"",CONCATENATE(T120,"-",U120))</f>
        <v/>
      </c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>
        <f>IF(NOT(ISBLANK(G120)),ABS(G120),0)</f>
        <v>0</v>
      </c>
      <c r="BM120">
        <f>IF(NOT(ISBLANK(AK120)),ABS(AK120),0)</f>
        <v>0</v>
      </c>
      <c r="BN120">
        <f>IF(NOT(ISBLANK(AX120)),ABS(AX120),0)</f>
        <v>0</v>
      </c>
      <c r="BO120">
        <f>IF(NOT(ISBLANK(BK120)),ABS(BK120),0)</f>
        <v>0</v>
      </c>
      <c r="BP120">
        <f>IF(ISBLANK(E120),0,ABS(E120-50))</f>
        <v>0</v>
      </c>
      <c r="BQ120" s="21" t="str">
        <f>IF(OR(ISBLANK(V120),ISBLANK(W120)),"",IF(SUM(V120,W120)=0,"",CONCATENATE(V120,"-",W120)))</f>
        <v/>
      </c>
      <c r="BR120" s="21" t="str">
        <f>IF(OR(AND(OR(AND(A120&gt;75,X120="Final Handicap"),AND(A120&gt;25,X120="1st half Handicap")),OR(AND(G120&gt;20,U120&lt;T120,E120&gt;45),AND(G120&lt;-20,U120&gt;T120,E120&lt;55))),AND(AND(A120-Y120&lt;200,A120-Y120&gt;9),OR(AND(A120&gt;75,X120="Final Handicap"),AND(A120&gt;25,X120="1st half Handicap")),OR(AND(AK120&gt;20,U120&lt;T120,E120&gt;45),AND(AK120&lt;-20,U120&gt;T120,E120&lt;55))),AND(AND(A120-AL120&lt;200,A120-AL120&gt;9),OR(AND(A120&gt;75,X120="Final Handicap"),AND(A120&gt;25,X120="1st half Handicap")),OR(AND(AX120&gt;20,U120&lt;T120,E120&gt;45),AND(AX120&lt;-20,U120&gt;T120,E120&lt;55))),AND(AND(A120-AY120&lt;200,A120-AY120&gt;9),OR(AND(A120&gt;75,X120="Final Handicap"),AND(A120&gt;25,X120="1st half Handicap")),OR(AND(BK120&gt;20,U120&lt;T120,E120&gt;45),AND(BK120&lt;-20,U120&gt;T120,E120&lt;55)))),"GOOD","")</f>
        <v/>
      </c>
      <c r="BS120" s="21"/>
    </row>
    <row r="121" spans="1:71" ht="17.25" x14ac:dyDescent="0.3">
      <c r="A121" s="3"/>
      <c r="D121" s="8" t="str">
        <f>IF(ISBLANK(T121),"",CONCATENATE(T121,"-",U121))</f>
        <v/>
      </c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>
        <f>IF(NOT(ISBLANK(G121)),ABS(G121),0)</f>
        <v>0</v>
      </c>
      <c r="BM121">
        <f>IF(NOT(ISBLANK(AK121)),ABS(AK121),0)</f>
        <v>0</v>
      </c>
      <c r="BN121">
        <f>IF(NOT(ISBLANK(AX121)),ABS(AX121),0)</f>
        <v>0</v>
      </c>
      <c r="BO121">
        <f>IF(NOT(ISBLANK(BK121)),ABS(BK121),0)</f>
        <v>0</v>
      </c>
      <c r="BP121">
        <f>IF(ISBLANK(E121),0,ABS(E121-50))</f>
        <v>0</v>
      </c>
      <c r="BQ121" s="21" t="str">
        <f>IF(OR(ISBLANK(V121),ISBLANK(W121)),"",IF(SUM(V121,W121)=0,"",CONCATENATE(V121,"-",W121)))</f>
        <v/>
      </c>
      <c r="BR121" s="21" t="str">
        <f>IF(OR(AND(OR(AND(A121&gt;75,X121="Final Handicap"),AND(A121&gt;25,X121="1st half Handicap")),OR(AND(G121&gt;20,U121&lt;T121,E121&gt;45),AND(G121&lt;-20,U121&gt;T121,E121&lt;55))),AND(AND(A121-Y121&lt;200,A121-Y121&gt;9),OR(AND(A121&gt;75,X121="Final Handicap"),AND(A121&gt;25,X121="1st half Handicap")),OR(AND(AK121&gt;20,U121&lt;T121,E121&gt;45),AND(AK121&lt;-20,U121&gt;T121,E121&lt;55))),AND(AND(A121-AL121&lt;200,A121-AL121&gt;9),OR(AND(A121&gt;75,X121="Final Handicap"),AND(A121&gt;25,X121="1st half Handicap")),OR(AND(AX121&gt;20,U121&lt;T121,E121&gt;45),AND(AX121&lt;-20,U121&gt;T121,E121&lt;55))),AND(AND(A121-AY121&lt;200,A121-AY121&gt;9),OR(AND(A121&gt;75,X121="Final Handicap"),AND(A121&gt;25,X121="1st half Handicap")),OR(AND(BK121&gt;20,U121&lt;T121,E121&gt;45),AND(BK121&lt;-20,U121&gt;T121,E121&lt;55)))),"GOOD","")</f>
        <v/>
      </c>
      <c r="BS121" s="21"/>
    </row>
    <row r="122" spans="1:71" ht="17.25" x14ac:dyDescent="0.3">
      <c r="A122" s="3"/>
      <c r="D122" s="8" t="str">
        <f>IF(ISBLANK(T122),"",CONCATENATE(T122,"-",U122))</f>
        <v/>
      </c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>
        <f>IF(NOT(ISBLANK(G122)),ABS(G122),0)</f>
        <v>0</v>
      </c>
      <c r="BM122">
        <f>IF(NOT(ISBLANK(AK122)),ABS(AK122),0)</f>
        <v>0</v>
      </c>
      <c r="BN122">
        <f>IF(NOT(ISBLANK(AX122)),ABS(AX122),0)</f>
        <v>0</v>
      </c>
      <c r="BO122">
        <f>IF(NOT(ISBLANK(BK122)),ABS(BK122),0)</f>
        <v>0</v>
      </c>
      <c r="BP122">
        <f>IF(ISBLANK(E122),0,ABS(E122-50))</f>
        <v>0</v>
      </c>
      <c r="BQ122" s="21" t="str">
        <f>IF(OR(ISBLANK(V122),ISBLANK(W122)),"",IF(SUM(V122,W122)=0,"",CONCATENATE(V122,"-",W122)))</f>
        <v/>
      </c>
      <c r="BR122" s="21" t="str">
        <f>IF(OR(AND(OR(AND(A122&gt;75,X122="Final Handicap"),AND(A122&gt;25,X122="1st half Handicap")),OR(AND(G122&gt;20,U122&lt;T122,E122&gt;45),AND(G122&lt;-20,U122&gt;T122,E122&lt;55))),AND(AND(A122-Y122&lt;200,A122-Y122&gt;9),OR(AND(A122&gt;75,X122="Final Handicap"),AND(A122&gt;25,X122="1st half Handicap")),OR(AND(AK122&gt;20,U122&lt;T122,E122&gt;45),AND(AK122&lt;-20,U122&gt;T122,E122&lt;55))),AND(AND(A122-AL122&lt;200,A122-AL122&gt;9),OR(AND(A122&gt;75,X122="Final Handicap"),AND(A122&gt;25,X122="1st half Handicap")),OR(AND(AX122&gt;20,U122&lt;T122,E122&gt;45),AND(AX122&lt;-20,U122&gt;T122,E122&lt;55))),AND(AND(A122-AY122&lt;200,A122-AY122&gt;9),OR(AND(A122&gt;75,X122="Final Handicap"),AND(A122&gt;25,X122="1st half Handicap")),OR(AND(BK122&gt;20,U122&lt;T122,E122&gt;45),AND(BK122&lt;-20,U122&gt;T122,E122&lt;55)))),"GOOD","")</f>
        <v/>
      </c>
      <c r="BS122" s="21"/>
    </row>
    <row r="123" spans="1:71" ht="17.25" x14ac:dyDescent="0.3">
      <c r="A123" s="3"/>
      <c r="D123" s="8" t="str">
        <f>IF(ISBLANK(T123),"",CONCATENATE(T123,"-",U123))</f>
        <v/>
      </c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>
        <f>IF(NOT(ISBLANK(G123)),ABS(G123),0)</f>
        <v>0</v>
      </c>
      <c r="BM123">
        <f>IF(NOT(ISBLANK(AK123)),ABS(AK123),0)</f>
        <v>0</v>
      </c>
      <c r="BN123">
        <f>IF(NOT(ISBLANK(AX123)),ABS(AX123),0)</f>
        <v>0</v>
      </c>
      <c r="BO123">
        <f>IF(NOT(ISBLANK(BK123)),ABS(BK123),0)</f>
        <v>0</v>
      </c>
      <c r="BP123">
        <f>IF(ISBLANK(E123),0,ABS(E123-50))</f>
        <v>0</v>
      </c>
      <c r="BQ123" s="21" t="str">
        <f>IF(OR(ISBLANK(V123),ISBLANK(W123)),"",IF(SUM(V123,W123)=0,"",CONCATENATE(V123,"-",W123)))</f>
        <v/>
      </c>
      <c r="BR123" s="21" t="str">
        <f>IF(OR(AND(OR(AND(A123&gt;75,X123="Final Handicap"),AND(A123&gt;25,X123="1st half Handicap")),OR(AND(G123&gt;20,U123&lt;T123,E123&gt;45),AND(G123&lt;-20,U123&gt;T123,E123&lt;55))),AND(AND(A123-Y123&lt;200,A123-Y123&gt;9),OR(AND(A123&gt;75,X123="Final Handicap"),AND(A123&gt;25,X123="1st half Handicap")),OR(AND(AK123&gt;20,U123&lt;T123,E123&gt;45),AND(AK123&lt;-20,U123&gt;T123,E123&lt;55))),AND(AND(A123-AL123&lt;200,A123-AL123&gt;9),OR(AND(A123&gt;75,X123="Final Handicap"),AND(A123&gt;25,X123="1st half Handicap")),OR(AND(AX123&gt;20,U123&lt;T123,E123&gt;45),AND(AX123&lt;-20,U123&gt;T123,E123&lt;55))),AND(AND(A123-AY123&lt;200,A123-AY123&gt;9),OR(AND(A123&gt;75,X123="Final Handicap"),AND(A123&gt;25,X123="1st half Handicap")),OR(AND(BK123&gt;20,U123&lt;T123,E123&gt;45),AND(BK123&lt;-20,U123&gt;T123,E123&lt;55)))),"GOOD","")</f>
        <v/>
      </c>
      <c r="BS123" s="21"/>
    </row>
    <row r="124" spans="1:71" ht="17.25" x14ac:dyDescent="0.3">
      <c r="A124" s="3"/>
      <c r="D124" s="8" t="str">
        <f>IF(ISBLANK(T124),"",CONCATENATE(T124,"-",U124))</f>
        <v/>
      </c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>
        <f>IF(NOT(ISBLANK(G124)),ABS(G124),0)</f>
        <v>0</v>
      </c>
      <c r="BM124">
        <f>IF(NOT(ISBLANK(AK124)),ABS(AK124),0)</f>
        <v>0</v>
      </c>
      <c r="BN124">
        <f>IF(NOT(ISBLANK(AX124)),ABS(AX124),0)</f>
        <v>0</v>
      </c>
      <c r="BO124">
        <f>IF(NOT(ISBLANK(BK124)),ABS(BK124),0)</f>
        <v>0</v>
      </c>
      <c r="BP124">
        <f>IF(ISBLANK(E124),0,ABS(E124-50))</f>
        <v>0</v>
      </c>
      <c r="BQ124" s="21" t="str">
        <f>IF(OR(ISBLANK(V124),ISBLANK(W124)),"",IF(SUM(V124,W124)=0,"",CONCATENATE(V124,"-",W124)))</f>
        <v/>
      </c>
      <c r="BR124" s="21" t="str">
        <f>IF(OR(AND(OR(AND(A124&gt;75,X124="Final Handicap"),AND(A124&gt;25,X124="1st half Handicap")),OR(AND(G124&gt;20,U124&lt;T124,E124&gt;45),AND(G124&lt;-20,U124&gt;T124,E124&lt;55))),AND(AND(A124-Y124&lt;200,A124-Y124&gt;9),OR(AND(A124&gt;75,X124="Final Handicap"),AND(A124&gt;25,X124="1st half Handicap")),OR(AND(AK124&gt;20,U124&lt;T124,E124&gt;45),AND(AK124&lt;-20,U124&gt;T124,E124&lt;55))),AND(AND(A124-AL124&lt;200,A124-AL124&gt;9),OR(AND(A124&gt;75,X124="Final Handicap"),AND(A124&gt;25,X124="1st half Handicap")),OR(AND(AX124&gt;20,U124&lt;T124,E124&gt;45),AND(AX124&lt;-20,U124&gt;T124,E124&lt;55))),AND(AND(A124-AY124&lt;200,A124-AY124&gt;9),OR(AND(A124&gt;75,X124="Final Handicap"),AND(A124&gt;25,X124="1st half Handicap")),OR(AND(BK124&gt;20,U124&lt;T124,E124&gt;45),AND(BK124&lt;-20,U124&gt;T124,E124&lt;55)))),"GOOD","")</f>
        <v/>
      </c>
      <c r="BS124" s="21"/>
    </row>
    <row r="125" spans="1:71" ht="17.25" x14ac:dyDescent="0.3">
      <c r="A125" s="3"/>
      <c r="D125" s="8" t="str">
        <f>IF(ISBLANK(T125),"",CONCATENATE(T125,"-",U125))</f>
        <v/>
      </c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>
        <f>IF(NOT(ISBLANK(G125)),ABS(G125),0)</f>
        <v>0</v>
      </c>
      <c r="BM125">
        <f>IF(NOT(ISBLANK(AK125)),ABS(AK125),0)</f>
        <v>0</v>
      </c>
      <c r="BN125">
        <f>IF(NOT(ISBLANK(AX125)),ABS(AX125),0)</f>
        <v>0</v>
      </c>
      <c r="BO125">
        <f>IF(NOT(ISBLANK(BK125)),ABS(BK125),0)</f>
        <v>0</v>
      </c>
      <c r="BP125">
        <f>IF(ISBLANK(E125),0,ABS(E125-50))</f>
        <v>0</v>
      </c>
      <c r="BQ125" s="21" t="str">
        <f>IF(OR(ISBLANK(V125),ISBLANK(W125)),"",IF(SUM(V125,W125)=0,"",CONCATENATE(V125,"-",W125)))</f>
        <v/>
      </c>
      <c r="BR125" s="21" t="str">
        <f>IF(OR(AND(OR(AND(A125&gt;75,X125="Final Handicap"),AND(A125&gt;25,X125="1st half Handicap")),OR(AND(G125&gt;20,U125&lt;T125,E125&gt;45),AND(G125&lt;-20,U125&gt;T125,E125&lt;55))),AND(AND(A125-Y125&lt;200,A125-Y125&gt;9),OR(AND(A125&gt;75,X125="Final Handicap"),AND(A125&gt;25,X125="1st half Handicap")),OR(AND(AK125&gt;20,U125&lt;T125,E125&gt;45),AND(AK125&lt;-20,U125&gt;T125,E125&lt;55))),AND(AND(A125-AL125&lt;200,A125-AL125&gt;9),OR(AND(A125&gt;75,X125="Final Handicap"),AND(A125&gt;25,X125="1st half Handicap")),OR(AND(AX125&gt;20,U125&lt;T125,E125&gt;45),AND(AX125&lt;-20,U125&gt;T125,E125&lt;55))),AND(AND(A125-AY125&lt;200,A125-AY125&gt;9),OR(AND(A125&gt;75,X125="Final Handicap"),AND(A125&gt;25,X125="1st half Handicap")),OR(AND(BK125&gt;20,U125&lt;T125,E125&gt;45),AND(BK125&lt;-20,U125&gt;T125,E125&lt;55)))),"GOOD","")</f>
        <v/>
      </c>
      <c r="BS125" s="21"/>
    </row>
    <row r="126" spans="1:71" ht="17.25" x14ac:dyDescent="0.3">
      <c r="A126" s="3"/>
      <c r="D126" s="8" t="str">
        <f>IF(ISBLANK(T126),"",CONCATENATE(T126,"-",U126))</f>
        <v/>
      </c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>
        <f>IF(NOT(ISBLANK(G126)),ABS(G126),0)</f>
        <v>0</v>
      </c>
      <c r="BM126">
        <f>IF(NOT(ISBLANK(AK126)),ABS(AK126),0)</f>
        <v>0</v>
      </c>
      <c r="BN126">
        <f>IF(NOT(ISBLANK(AX126)),ABS(AX126),0)</f>
        <v>0</v>
      </c>
      <c r="BO126">
        <f>IF(NOT(ISBLANK(BK126)),ABS(BK126),0)</f>
        <v>0</v>
      </c>
      <c r="BP126">
        <f>IF(ISBLANK(E126),0,ABS(E126-50))</f>
        <v>0</v>
      </c>
      <c r="BQ126" s="21" t="str">
        <f>IF(OR(ISBLANK(V126),ISBLANK(W126)),"",IF(SUM(V126,W126)=0,"",CONCATENATE(V126,"-",W126)))</f>
        <v/>
      </c>
      <c r="BR126" s="21" t="str">
        <f>IF(OR(AND(OR(AND(A126&gt;75,X126="Final Handicap"),AND(A126&gt;25,X126="1st half Handicap")),OR(AND(G126&gt;20,U126&lt;T126,E126&gt;45),AND(G126&lt;-20,U126&gt;T126,E126&lt;55))),AND(AND(A126-Y126&lt;200,A126-Y126&gt;9),OR(AND(A126&gt;75,X126="Final Handicap"),AND(A126&gt;25,X126="1st half Handicap")),OR(AND(AK126&gt;20,U126&lt;T126,E126&gt;45),AND(AK126&lt;-20,U126&gt;T126,E126&lt;55))),AND(AND(A126-AL126&lt;200,A126-AL126&gt;9),OR(AND(A126&gt;75,X126="Final Handicap"),AND(A126&gt;25,X126="1st half Handicap")),OR(AND(AX126&gt;20,U126&lt;T126,E126&gt;45),AND(AX126&lt;-20,U126&gt;T126,E126&lt;55))),AND(AND(A126-AY126&lt;200,A126-AY126&gt;9),OR(AND(A126&gt;75,X126="Final Handicap"),AND(A126&gt;25,X126="1st half Handicap")),OR(AND(BK126&gt;20,U126&lt;T126,E126&gt;45),AND(BK126&lt;-20,U126&gt;T126,E126&lt;55)))),"GOOD","")</f>
        <v/>
      </c>
      <c r="BS126" s="21"/>
    </row>
    <row r="127" spans="1:71" ht="17.25" x14ac:dyDescent="0.3">
      <c r="A127" s="3"/>
      <c r="D127" s="8" t="str">
        <f>IF(ISBLANK(T127),"",CONCATENATE(T127,"-",U127))</f>
        <v/>
      </c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>
        <f>IF(NOT(ISBLANK(G127)),ABS(G127),0)</f>
        <v>0</v>
      </c>
      <c r="BM127">
        <f>IF(NOT(ISBLANK(AK127)),ABS(AK127),0)</f>
        <v>0</v>
      </c>
      <c r="BN127">
        <f>IF(NOT(ISBLANK(AX127)),ABS(AX127),0)</f>
        <v>0</v>
      </c>
      <c r="BO127">
        <f>IF(NOT(ISBLANK(BK127)),ABS(BK127),0)</f>
        <v>0</v>
      </c>
      <c r="BP127">
        <f>IF(ISBLANK(E127),0,ABS(E127-50))</f>
        <v>0</v>
      </c>
      <c r="BQ127" s="21" t="str">
        <f>IF(OR(ISBLANK(V127),ISBLANK(W127)),"",IF(SUM(V127,W127)=0,"",CONCATENATE(V127,"-",W127)))</f>
        <v/>
      </c>
      <c r="BR127" s="21" t="str">
        <f>IF(OR(AND(OR(AND(A127&gt;75,X127="Final Handicap"),AND(A127&gt;25,X127="1st half Handicap")),OR(AND(G127&gt;20,U127&lt;T127,E127&gt;45),AND(G127&lt;-20,U127&gt;T127,E127&lt;55))),AND(AND(A127-Y127&lt;200,A127-Y127&gt;9),OR(AND(A127&gt;75,X127="Final Handicap"),AND(A127&gt;25,X127="1st half Handicap")),OR(AND(AK127&gt;20,U127&lt;T127,E127&gt;45),AND(AK127&lt;-20,U127&gt;T127,E127&lt;55))),AND(AND(A127-AL127&lt;200,A127-AL127&gt;9),OR(AND(A127&gt;75,X127="Final Handicap"),AND(A127&gt;25,X127="1st half Handicap")),OR(AND(AX127&gt;20,U127&lt;T127,E127&gt;45),AND(AX127&lt;-20,U127&gt;T127,E127&lt;55))),AND(AND(A127-AY127&lt;200,A127-AY127&gt;9),OR(AND(A127&gt;75,X127="Final Handicap"),AND(A127&gt;25,X127="1st half Handicap")),OR(AND(BK127&gt;20,U127&lt;T127,E127&gt;45),AND(BK127&lt;-20,U127&gt;T127,E127&lt;55)))),"GOOD","")</f>
        <v/>
      </c>
      <c r="BS127" s="21"/>
    </row>
    <row r="128" spans="1:71" ht="17.25" x14ac:dyDescent="0.3">
      <c r="A128" s="3"/>
      <c r="D128" s="8" t="str">
        <f>IF(ISBLANK(T128),"",CONCATENATE(T128,"-",U128))</f>
        <v/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>
        <f>IF(NOT(ISBLANK(G128)),ABS(G128),0)</f>
        <v>0</v>
      </c>
      <c r="BM128">
        <f>IF(NOT(ISBLANK(AK128)),ABS(AK128),0)</f>
        <v>0</v>
      </c>
      <c r="BN128">
        <f>IF(NOT(ISBLANK(AX128)),ABS(AX128),0)</f>
        <v>0</v>
      </c>
      <c r="BO128">
        <f>IF(NOT(ISBLANK(BK128)),ABS(BK128),0)</f>
        <v>0</v>
      </c>
      <c r="BP128">
        <f>IF(ISBLANK(E128),0,ABS(E128-50))</f>
        <v>0</v>
      </c>
      <c r="BQ128" s="21" t="str">
        <f>IF(OR(ISBLANK(V128),ISBLANK(W128)),"",IF(SUM(V128,W128)=0,"",CONCATENATE(V128,"-",W128)))</f>
        <v/>
      </c>
      <c r="BR128" s="21" t="str">
        <f>IF(OR(AND(OR(AND(A128&gt;75,X128="Final Handicap"),AND(A128&gt;25,X128="1st half Handicap")),OR(AND(G128&gt;20,U128&lt;T128,E128&gt;45),AND(G128&lt;-20,U128&gt;T128,E128&lt;55))),AND(AND(A128-Y128&lt;200,A128-Y128&gt;9),OR(AND(A128&gt;75,X128="Final Handicap"),AND(A128&gt;25,X128="1st half Handicap")),OR(AND(AK128&gt;20,U128&lt;T128,E128&gt;45),AND(AK128&lt;-20,U128&gt;T128,E128&lt;55))),AND(AND(A128-AL128&lt;200,A128-AL128&gt;9),OR(AND(A128&gt;75,X128="Final Handicap"),AND(A128&gt;25,X128="1st half Handicap")),OR(AND(AX128&gt;20,U128&lt;T128,E128&gt;45),AND(AX128&lt;-20,U128&gt;T128,E128&lt;55))),AND(AND(A128-AY128&lt;200,A128-AY128&gt;9),OR(AND(A128&gt;75,X128="Final Handicap"),AND(A128&gt;25,X128="1st half Handicap")),OR(AND(BK128&gt;20,U128&lt;T128,E128&gt;45),AND(BK128&lt;-20,U128&gt;T128,E128&lt;55)))),"GOOD","")</f>
        <v/>
      </c>
      <c r="BS128" s="21"/>
    </row>
    <row r="129" spans="1:71" ht="17.25" x14ac:dyDescent="0.3">
      <c r="A129" s="3"/>
      <c r="D129" s="8" t="str">
        <f>IF(ISBLANK(T129),"",CONCATENATE(T129,"-",U129))</f>
        <v/>
      </c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>
        <f>IF(NOT(ISBLANK(G129)),ABS(G129),0)</f>
        <v>0</v>
      </c>
      <c r="BM129">
        <f>IF(NOT(ISBLANK(AK129)),ABS(AK129),0)</f>
        <v>0</v>
      </c>
      <c r="BN129">
        <f>IF(NOT(ISBLANK(AX129)),ABS(AX129),0)</f>
        <v>0</v>
      </c>
      <c r="BO129">
        <f>IF(NOT(ISBLANK(BK129)),ABS(BK129),0)</f>
        <v>0</v>
      </c>
      <c r="BP129">
        <f>IF(ISBLANK(E129),0,ABS(E129-50))</f>
        <v>0</v>
      </c>
      <c r="BQ129" s="21" t="str">
        <f>IF(OR(ISBLANK(V129),ISBLANK(W129)),"",IF(SUM(V129,W129)=0,"",CONCATENATE(V129,"-",W129)))</f>
        <v/>
      </c>
      <c r="BR129" s="21" t="str">
        <f>IF(OR(AND(OR(AND(A129&gt;75,X129="Final Handicap"),AND(A129&gt;25,X129="1st half Handicap")),OR(AND(G129&gt;20,U129&lt;T129,E129&gt;45),AND(G129&lt;-20,U129&gt;T129,E129&lt;55))),AND(AND(A129-Y129&lt;200,A129-Y129&gt;9),OR(AND(A129&gt;75,X129="Final Handicap"),AND(A129&gt;25,X129="1st half Handicap")),OR(AND(AK129&gt;20,U129&lt;T129,E129&gt;45),AND(AK129&lt;-20,U129&gt;T129,E129&lt;55))),AND(AND(A129-AL129&lt;200,A129-AL129&gt;9),OR(AND(A129&gt;75,X129="Final Handicap"),AND(A129&gt;25,X129="1st half Handicap")),OR(AND(AX129&gt;20,U129&lt;T129,E129&gt;45),AND(AX129&lt;-20,U129&gt;T129,E129&lt;55))),AND(AND(A129-AY129&lt;200,A129-AY129&gt;9),OR(AND(A129&gt;75,X129="Final Handicap"),AND(A129&gt;25,X129="1st half Handicap")),OR(AND(BK129&gt;20,U129&lt;T129,E129&gt;45),AND(BK129&lt;-20,U129&gt;T129,E129&lt;55)))),"GOOD","")</f>
        <v/>
      </c>
      <c r="BS129" s="21"/>
    </row>
    <row r="130" spans="1:71" ht="17.25" x14ac:dyDescent="0.3">
      <c r="A130" s="3"/>
      <c r="D130" s="8" t="str">
        <f>IF(ISBLANK(T130),"",CONCATENATE(T130,"-",U130))</f>
        <v/>
      </c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>
        <f>IF(NOT(ISBLANK(G130)),ABS(G130),0)</f>
        <v>0</v>
      </c>
      <c r="BM130">
        <f>IF(NOT(ISBLANK(AK130)),ABS(AK130),0)</f>
        <v>0</v>
      </c>
      <c r="BN130">
        <f>IF(NOT(ISBLANK(AX130)),ABS(AX130),0)</f>
        <v>0</v>
      </c>
      <c r="BO130">
        <f>IF(NOT(ISBLANK(BK130)),ABS(BK130),0)</f>
        <v>0</v>
      </c>
      <c r="BP130">
        <f>IF(ISBLANK(E130),0,ABS(E130-50))</f>
        <v>0</v>
      </c>
      <c r="BQ130" s="21" t="str">
        <f>IF(OR(ISBLANK(V130),ISBLANK(W130)),"",IF(SUM(V130,W130)=0,"",CONCATENATE(V130,"-",W130)))</f>
        <v/>
      </c>
      <c r="BR130" s="21" t="str">
        <f>IF(OR(AND(OR(AND(A130&gt;75,X130="Final Handicap"),AND(A130&gt;25,X130="1st half Handicap")),OR(AND(G130&gt;20,U130&lt;T130,E130&gt;45),AND(G130&lt;-20,U130&gt;T130,E130&lt;55))),AND(AND(A130-Y130&lt;200,A130-Y130&gt;9),OR(AND(A130&gt;75,X130="Final Handicap"),AND(A130&gt;25,X130="1st half Handicap")),OR(AND(AK130&gt;20,U130&lt;T130,E130&gt;45),AND(AK130&lt;-20,U130&gt;T130,E130&lt;55))),AND(AND(A130-AL130&lt;200,A130-AL130&gt;9),OR(AND(A130&gt;75,X130="Final Handicap"),AND(A130&gt;25,X130="1st half Handicap")),OR(AND(AX130&gt;20,U130&lt;T130,E130&gt;45),AND(AX130&lt;-20,U130&gt;T130,E130&lt;55))),AND(AND(A130-AY130&lt;200,A130-AY130&gt;9),OR(AND(A130&gt;75,X130="Final Handicap"),AND(A130&gt;25,X130="1st half Handicap")),OR(AND(BK130&gt;20,U130&lt;T130,E130&gt;45),AND(BK130&lt;-20,U130&gt;T130,E130&lt;55)))),"GOOD","")</f>
        <v/>
      </c>
      <c r="BS130" s="21"/>
    </row>
    <row r="131" spans="1:71" ht="17.25" x14ac:dyDescent="0.3">
      <c r="A131" s="3"/>
      <c r="D131" s="8" t="str">
        <f>IF(ISBLANK(T131),"",CONCATENATE(T131,"-",U131))</f>
        <v/>
      </c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>
        <f>IF(NOT(ISBLANK(G131)),ABS(G131),0)</f>
        <v>0</v>
      </c>
      <c r="BM131">
        <f>IF(NOT(ISBLANK(AK131)),ABS(AK131),0)</f>
        <v>0</v>
      </c>
      <c r="BN131">
        <f>IF(NOT(ISBLANK(AX131)),ABS(AX131),0)</f>
        <v>0</v>
      </c>
      <c r="BO131">
        <f>IF(NOT(ISBLANK(BK131)),ABS(BK131),0)</f>
        <v>0</v>
      </c>
      <c r="BP131">
        <f>IF(ISBLANK(E131),0,ABS(E131-50))</f>
        <v>0</v>
      </c>
      <c r="BQ131" s="21" t="str">
        <f>IF(OR(ISBLANK(V131),ISBLANK(W131)),"",IF(SUM(V131,W131)=0,"",CONCATENATE(V131,"-",W131)))</f>
        <v/>
      </c>
      <c r="BR131" s="21" t="str">
        <f>IF(OR(AND(OR(AND(A131&gt;75,X131="Final Handicap"),AND(A131&gt;25,X131="1st half Handicap")),OR(AND(G131&gt;20,U131&lt;T131,E131&gt;45),AND(G131&lt;-20,U131&gt;T131,E131&lt;55))),AND(AND(A131-Y131&lt;200,A131-Y131&gt;9),OR(AND(A131&gt;75,X131="Final Handicap"),AND(A131&gt;25,X131="1st half Handicap")),OR(AND(AK131&gt;20,U131&lt;T131,E131&gt;45),AND(AK131&lt;-20,U131&gt;T131,E131&lt;55))),AND(AND(A131-AL131&lt;200,A131-AL131&gt;9),OR(AND(A131&gt;75,X131="Final Handicap"),AND(A131&gt;25,X131="1st half Handicap")),OR(AND(AX131&gt;20,U131&lt;T131,E131&gt;45),AND(AX131&lt;-20,U131&gt;T131,E131&lt;55))),AND(AND(A131-AY131&lt;200,A131-AY131&gt;9),OR(AND(A131&gt;75,X131="Final Handicap"),AND(A131&gt;25,X131="1st half Handicap")),OR(AND(BK131&gt;20,U131&lt;T131,E131&gt;45),AND(BK131&lt;-20,U131&gt;T131,E131&lt;55)))),"GOOD","")</f>
        <v/>
      </c>
      <c r="BS131" s="21"/>
    </row>
    <row r="132" spans="1:71" ht="17.25" x14ac:dyDescent="0.3">
      <c r="A132" s="3"/>
      <c r="D132" s="8" t="str">
        <f>IF(ISBLANK(T132),"",CONCATENATE(T132,"-",U132))</f>
        <v/>
      </c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>
        <f>IF(NOT(ISBLANK(G132)),ABS(G132),0)</f>
        <v>0</v>
      </c>
      <c r="BM132">
        <f>IF(NOT(ISBLANK(AK132)),ABS(AK132),0)</f>
        <v>0</v>
      </c>
      <c r="BN132">
        <f>IF(NOT(ISBLANK(AX132)),ABS(AX132),0)</f>
        <v>0</v>
      </c>
      <c r="BO132">
        <f>IF(NOT(ISBLANK(BK132)),ABS(BK132),0)</f>
        <v>0</v>
      </c>
      <c r="BP132">
        <f>IF(ISBLANK(E132),0,ABS(E132-50))</f>
        <v>0</v>
      </c>
      <c r="BQ132" s="21" t="str">
        <f>IF(OR(ISBLANK(V132),ISBLANK(W132)),"",IF(SUM(V132,W132)=0,"",CONCATENATE(V132,"-",W132)))</f>
        <v/>
      </c>
      <c r="BR132" s="21" t="str">
        <f>IF(OR(AND(OR(AND(A132&gt;75,X132="Final Handicap"),AND(A132&gt;25,X132="1st half Handicap")),OR(AND(G132&gt;20,U132&lt;T132,E132&gt;45),AND(G132&lt;-20,U132&gt;T132,E132&lt;55))),AND(AND(A132-Y132&lt;200,A132-Y132&gt;9),OR(AND(A132&gt;75,X132="Final Handicap"),AND(A132&gt;25,X132="1st half Handicap")),OR(AND(AK132&gt;20,U132&lt;T132,E132&gt;45),AND(AK132&lt;-20,U132&gt;T132,E132&lt;55))),AND(AND(A132-AL132&lt;200,A132-AL132&gt;9),OR(AND(A132&gt;75,X132="Final Handicap"),AND(A132&gt;25,X132="1st half Handicap")),OR(AND(AX132&gt;20,U132&lt;T132,E132&gt;45),AND(AX132&lt;-20,U132&gt;T132,E132&lt;55))),AND(AND(A132-AY132&lt;200,A132-AY132&gt;9),OR(AND(A132&gt;75,X132="Final Handicap"),AND(A132&gt;25,X132="1st half Handicap")),OR(AND(BK132&gt;20,U132&lt;T132,E132&gt;45),AND(BK132&lt;-20,U132&gt;T132,E132&lt;55)))),"GOOD","")</f>
        <v/>
      </c>
      <c r="BS132" s="21"/>
    </row>
    <row r="133" spans="1:71" ht="17.25" x14ac:dyDescent="0.3">
      <c r="A133" s="3"/>
      <c r="D133" s="8" t="str">
        <f>IF(ISBLANK(T133),"",CONCATENATE(T133,"-",U133))</f>
        <v/>
      </c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>
        <f>IF(NOT(ISBLANK(G133)),ABS(G133),0)</f>
        <v>0</v>
      </c>
      <c r="BM133">
        <f>IF(NOT(ISBLANK(AK133)),ABS(AK133),0)</f>
        <v>0</v>
      </c>
      <c r="BN133">
        <f>IF(NOT(ISBLANK(AX133)),ABS(AX133),0)</f>
        <v>0</v>
      </c>
      <c r="BO133">
        <f>IF(NOT(ISBLANK(BK133)),ABS(BK133),0)</f>
        <v>0</v>
      </c>
      <c r="BP133">
        <f>IF(ISBLANK(E133),0,ABS(E133-50))</f>
        <v>0</v>
      </c>
      <c r="BQ133" s="21" t="str">
        <f>IF(OR(ISBLANK(V133),ISBLANK(W133)),"",IF(SUM(V133,W133)=0,"",CONCATENATE(V133,"-",W133)))</f>
        <v/>
      </c>
      <c r="BR133" s="21" t="str">
        <f>IF(OR(AND(OR(AND(A133&gt;75,X133="Final Handicap"),AND(A133&gt;25,X133="1st half Handicap")),OR(AND(G133&gt;20,U133&lt;T133,E133&gt;45),AND(G133&lt;-20,U133&gt;T133,E133&lt;55))),AND(AND(A133-Y133&lt;200,A133-Y133&gt;9),OR(AND(A133&gt;75,X133="Final Handicap"),AND(A133&gt;25,X133="1st half Handicap")),OR(AND(AK133&gt;20,U133&lt;T133,E133&gt;45),AND(AK133&lt;-20,U133&gt;T133,E133&lt;55))),AND(AND(A133-AL133&lt;200,A133-AL133&gt;9),OR(AND(A133&gt;75,X133="Final Handicap"),AND(A133&gt;25,X133="1st half Handicap")),OR(AND(AX133&gt;20,U133&lt;T133,E133&gt;45),AND(AX133&lt;-20,U133&gt;T133,E133&lt;55))),AND(AND(A133-AY133&lt;200,A133-AY133&gt;9),OR(AND(A133&gt;75,X133="Final Handicap"),AND(A133&gt;25,X133="1st half Handicap")),OR(AND(BK133&gt;20,U133&lt;T133,E133&gt;45),AND(BK133&lt;-20,U133&gt;T133,E133&lt;55)))),"GOOD","")</f>
        <v/>
      </c>
      <c r="BS133" s="21"/>
    </row>
    <row r="134" spans="1:71" ht="17.25" x14ac:dyDescent="0.3">
      <c r="A134" s="3"/>
      <c r="D134" s="8" t="str">
        <f>IF(ISBLANK(T134),"",CONCATENATE(T134,"-",U134))</f>
        <v/>
      </c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>
        <f>IF(NOT(ISBLANK(G134)),ABS(G134),0)</f>
        <v>0</v>
      </c>
      <c r="BM134">
        <f>IF(NOT(ISBLANK(AK134)),ABS(AK134),0)</f>
        <v>0</v>
      </c>
      <c r="BN134">
        <f>IF(NOT(ISBLANK(AX134)),ABS(AX134),0)</f>
        <v>0</v>
      </c>
      <c r="BO134">
        <f>IF(NOT(ISBLANK(BK134)),ABS(BK134),0)</f>
        <v>0</v>
      </c>
      <c r="BP134">
        <f>IF(ISBLANK(E134),0,ABS(E134-50))</f>
        <v>0</v>
      </c>
      <c r="BQ134" s="21" t="str">
        <f>IF(OR(ISBLANK(V134),ISBLANK(W134)),"",IF(SUM(V134,W134)=0,"",CONCATENATE(V134,"-",W134)))</f>
        <v/>
      </c>
      <c r="BR134" s="21" t="str">
        <f>IF(OR(AND(OR(AND(A134&gt;75,X134="Final Handicap"),AND(A134&gt;25,X134="1st half Handicap")),OR(AND(G134&gt;20,U134&lt;T134,E134&gt;45),AND(G134&lt;-20,U134&gt;T134,E134&lt;55))),AND(AND(A134-Y134&lt;200,A134-Y134&gt;9),OR(AND(A134&gt;75,X134="Final Handicap"),AND(A134&gt;25,X134="1st half Handicap")),OR(AND(AK134&gt;20,U134&lt;T134,E134&gt;45),AND(AK134&lt;-20,U134&gt;T134,E134&lt;55))),AND(AND(A134-AL134&lt;200,A134-AL134&gt;9),OR(AND(A134&gt;75,X134="Final Handicap"),AND(A134&gt;25,X134="1st half Handicap")),OR(AND(AX134&gt;20,U134&lt;T134,E134&gt;45),AND(AX134&lt;-20,U134&gt;T134,E134&lt;55))),AND(AND(A134-AY134&lt;200,A134-AY134&gt;9),OR(AND(A134&gt;75,X134="Final Handicap"),AND(A134&gt;25,X134="1st half Handicap")),OR(AND(BK134&gt;20,U134&lt;T134,E134&gt;45),AND(BK134&lt;-20,U134&gt;T134,E134&lt;55)))),"GOOD","")</f>
        <v/>
      </c>
      <c r="BS134" s="21"/>
    </row>
    <row r="135" spans="1:71" ht="17.25" x14ac:dyDescent="0.3">
      <c r="A135" s="3"/>
      <c r="D135" s="8" t="str">
        <f>IF(ISBLANK(T135),"",CONCATENATE(T135,"-",U135))</f>
        <v/>
      </c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>
        <f>IF(NOT(ISBLANK(G135)),ABS(G135),0)</f>
        <v>0</v>
      </c>
      <c r="BM135">
        <f>IF(NOT(ISBLANK(AK135)),ABS(AK135),0)</f>
        <v>0</v>
      </c>
      <c r="BN135">
        <f>IF(NOT(ISBLANK(AX135)),ABS(AX135),0)</f>
        <v>0</v>
      </c>
      <c r="BO135">
        <f>IF(NOT(ISBLANK(BK135)),ABS(BK135),0)</f>
        <v>0</v>
      </c>
      <c r="BP135">
        <f>IF(ISBLANK(E135),0,ABS(E135-50))</f>
        <v>0</v>
      </c>
      <c r="BQ135" s="21" t="str">
        <f>IF(OR(ISBLANK(V135),ISBLANK(W135)),"",IF(SUM(V135,W135)=0,"",CONCATENATE(V135,"-",W135)))</f>
        <v/>
      </c>
      <c r="BR135" s="21" t="str">
        <f>IF(OR(AND(OR(AND(A135&gt;75,X135="Final Handicap"),AND(A135&gt;25,X135="1st half Handicap")),OR(AND(G135&gt;20,U135&lt;T135,E135&gt;45),AND(G135&lt;-20,U135&gt;T135,E135&lt;55))),AND(AND(A135-Y135&lt;200,A135-Y135&gt;9),OR(AND(A135&gt;75,X135="Final Handicap"),AND(A135&gt;25,X135="1st half Handicap")),OR(AND(AK135&gt;20,U135&lt;T135,E135&gt;45),AND(AK135&lt;-20,U135&gt;T135,E135&lt;55))),AND(AND(A135-AL135&lt;200,A135-AL135&gt;9),OR(AND(A135&gt;75,X135="Final Handicap"),AND(A135&gt;25,X135="1st half Handicap")),OR(AND(AX135&gt;20,U135&lt;T135,E135&gt;45),AND(AX135&lt;-20,U135&gt;T135,E135&lt;55))),AND(AND(A135-AY135&lt;200,A135-AY135&gt;9),OR(AND(A135&gt;75,X135="Final Handicap"),AND(A135&gt;25,X135="1st half Handicap")),OR(AND(BK135&gt;20,U135&lt;T135,E135&gt;45),AND(BK135&lt;-20,U135&gt;T135,E135&lt;55)))),"GOOD","")</f>
        <v/>
      </c>
      <c r="BS135" s="21"/>
    </row>
    <row r="136" spans="1:71" ht="17.25" x14ac:dyDescent="0.3">
      <c r="A136" s="3"/>
      <c r="D136" s="8" t="str">
        <f>IF(ISBLANK(T136),"",CONCATENATE(T136,"-",U136))</f>
        <v/>
      </c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>
        <f>IF(NOT(ISBLANK(G136)),ABS(G136),0)</f>
        <v>0</v>
      </c>
      <c r="BM136">
        <f>IF(NOT(ISBLANK(AK136)),ABS(AK136),0)</f>
        <v>0</v>
      </c>
      <c r="BN136">
        <f>IF(NOT(ISBLANK(AX136)),ABS(AX136),0)</f>
        <v>0</v>
      </c>
      <c r="BO136">
        <f>IF(NOT(ISBLANK(BK136)),ABS(BK136),0)</f>
        <v>0</v>
      </c>
      <c r="BP136">
        <f>IF(ISBLANK(E136),0,ABS(E136-50))</f>
        <v>0</v>
      </c>
      <c r="BQ136" s="21" t="str">
        <f>IF(OR(ISBLANK(V136),ISBLANK(W136)),"",IF(SUM(V136,W136)=0,"",CONCATENATE(V136,"-",W136)))</f>
        <v/>
      </c>
      <c r="BR136" s="21" t="str">
        <f>IF(OR(AND(OR(AND(A136&gt;75,X136="Final Handicap"),AND(A136&gt;25,X136="1st half Handicap")),OR(AND(G136&gt;20,U136&lt;T136,E136&gt;45),AND(G136&lt;-20,U136&gt;T136,E136&lt;55))),AND(AND(A136-Y136&lt;200,A136-Y136&gt;9),OR(AND(A136&gt;75,X136="Final Handicap"),AND(A136&gt;25,X136="1st half Handicap")),OR(AND(AK136&gt;20,U136&lt;T136,E136&gt;45),AND(AK136&lt;-20,U136&gt;T136,E136&lt;55))),AND(AND(A136-AL136&lt;200,A136-AL136&gt;9),OR(AND(A136&gt;75,X136="Final Handicap"),AND(A136&gt;25,X136="1st half Handicap")),OR(AND(AX136&gt;20,U136&lt;T136,E136&gt;45),AND(AX136&lt;-20,U136&gt;T136,E136&lt;55))),AND(AND(A136-AY136&lt;200,A136-AY136&gt;9),OR(AND(A136&gt;75,X136="Final Handicap"),AND(A136&gt;25,X136="1st half Handicap")),OR(AND(BK136&gt;20,U136&lt;T136,E136&gt;45),AND(BK136&lt;-20,U136&gt;T136,E136&lt;55)))),"GOOD","")</f>
        <v/>
      </c>
      <c r="BS136" s="21"/>
    </row>
    <row r="137" spans="1:71" ht="17.25" x14ac:dyDescent="0.3">
      <c r="A137" s="3"/>
      <c r="D137" s="8" t="str">
        <f>IF(ISBLANK(T137),"",CONCATENATE(T137,"-",U137))</f>
        <v/>
      </c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>
        <f>IF(NOT(ISBLANK(G137)),ABS(G137),0)</f>
        <v>0</v>
      </c>
      <c r="BM137">
        <f>IF(NOT(ISBLANK(AK137)),ABS(AK137),0)</f>
        <v>0</v>
      </c>
      <c r="BN137">
        <f>IF(NOT(ISBLANK(AX137)),ABS(AX137),0)</f>
        <v>0</v>
      </c>
      <c r="BO137">
        <f>IF(NOT(ISBLANK(BK137)),ABS(BK137),0)</f>
        <v>0</v>
      </c>
      <c r="BP137">
        <f>IF(ISBLANK(E137),0,ABS(E137-50))</f>
        <v>0</v>
      </c>
      <c r="BQ137" s="21" t="str">
        <f>IF(OR(ISBLANK(V137),ISBLANK(W137)),"",IF(SUM(V137,W137)=0,"",CONCATENATE(V137,"-",W137)))</f>
        <v/>
      </c>
      <c r="BR137" s="21" t="str">
        <f>IF(OR(AND(OR(AND(A137&gt;75,X137="Final Handicap"),AND(A137&gt;25,X137="1st half Handicap")),OR(AND(G137&gt;20,U137&lt;T137,E137&gt;45),AND(G137&lt;-20,U137&gt;T137,E137&lt;55))),AND(AND(A137-Y137&lt;200,A137-Y137&gt;9),OR(AND(A137&gt;75,X137="Final Handicap"),AND(A137&gt;25,X137="1st half Handicap")),OR(AND(AK137&gt;20,U137&lt;T137,E137&gt;45),AND(AK137&lt;-20,U137&gt;T137,E137&lt;55))),AND(AND(A137-AL137&lt;200,A137-AL137&gt;9),OR(AND(A137&gt;75,X137="Final Handicap"),AND(A137&gt;25,X137="1st half Handicap")),OR(AND(AX137&gt;20,U137&lt;T137,E137&gt;45),AND(AX137&lt;-20,U137&gt;T137,E137&lt;55))),AND(AND(A137-AY137&lt;200,A137-AY137&gt;9),OR(AND(A137&gt;75,X137="Final Handicap"),AND(A137&gt;25,X137="1st half Handicap")),OR(AND(BK137&gt;20,U137&lt;T137,E137&gt;45),AND(BK137&lt;-20,U137&gt;T137,E137&lt;55)))),"GOOD","")</f>
        <v/>
      </c>
      <c r="BS137" s="21"/>
    </row>
    <row r="138" spans="1:71" ht="17.25" x14ac:dyDescent="0.3">
      <c r="A138" s="3"/>
      <c r="D138" s="8" t="str">
        <f>IF(ISBLANK(T138),"",CONCATENATE(T138,"-",U138))</f>
        <v/>
      </c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>
        <f>IF(NOT(ISBLANK(G138)),ABS(G138),0)</f>
        <v>0</v>
      </c>
      <c r="BM138">
        <f>IF(NOT(ISBLANK(AK138)),ABS(AK138),0)</f>
        <v>0</v>
      </c>
      <c r="BN138">
        <f>IF(NOT(ISBLANK(AX138)),ABS(AX138),0)</f>
        <v>0</v>
      </c>
      <c r="BO138">
        <f>IF(NOT(ISBLANK(BK138)),ABS(BK138),0)</f>
        <v>0</v>
      </c>
      <c r="BP138">
        <f>IF(ISBLANK(E138),0,ABS(E138-50))</f>
        <v>0</v>
      </c>
      <c r="BQ138" s="21" t="str">
        <f>IF(OR(ISBLANK(V138),ISBLANK(W138)),"",IF(SUM(V138,W138)=0,"",CONCATENATE(V138,"-",W138)))</f>
        <v/>
      </c>
      <c r="BR138" s="21" t="str">
        <f>IF(OR(AND(OR(AND(A138&gt;75,X138="Final Handicap"),AND(A138&gt;25,X138="1st half Handicap")),OR(AND(G138&gt;20,U138&lt;T138,E138&gt;45),AND(G138&lt;-20,U138&gt;T138,E138&lt;55))),AND(AND(A138-Y138&lt;200,A138-Y138&gt;9),OR(AND(A138&gt;75,X138="Final Handicap"),AND(A138&gt;25,X138="1st half Handicap")),OR(AND(AK138&gt;20,U138&lt;T138,E138&gt;45),AND(AK138&lt;-20,U138&gt;T138,E138&lt;55))),AND(AND(A138-AL138&lt;200,A138-AL138&gt;9),OR(AND(A138&gt;75,X138="Final Handicap"),AND(A138&gt;25,X138="1st half Handicap")),OR(AND(AX138&gt;20,U138&lt;T138,E138&gt;45),AND(AX138&lt;-20,U138&gt;T138,E138&lt;55))),AND(AND(A138-AY138&lt;200,A138-AY138&gt;9),OR(AND(A138&gt;75,X138="Final Handicap"),AND(A138&gt;25,X138="1st half Handicap")),OR(AND(BK138&gt;20,U138&lt;T138,E138&gt;45),AND(BK138&lt;-20,U138&gt;T138,E138&lt;55)))),"GOOD","")</f>
        <v/>
      </c>
      <c r="BS138" s="21"/>
    </row>
    <row r="139" spans="1:71" ht="17.25" x14ac:dyDescent="0.3">
      <c r="A139" s="3"/>
      <c r="D139" s="8" t="str">
        <f>IF(ISBLANK(T139),"",CONCATENATE(T139,"-",U139))</f>
        <v/>
      </c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>
        <f>IF(NOT(ISBLANK(G139)),ABS(G139),0)</f>
        <v>0</v>
      </c>
      <c r="BM139">
        <f>IF(NOT(ISBLANK(AK139)),ABS(AK139),0)</f>
        <v>0</v>
      </c>
      <c r="BN139">
        <f>IF(NOT(ISBLANK(AX139)),ABS(AX139),0)</f>
        <v>0</v>
      </c>
      <c r="BO139">
        <f>IF(NOT(ISBLANK(BK139)),ABS(BK139),0)</f>
        <v>0</v>
      </c>
      <c r="BP139">
        <f>IF(ISBLANK(E139),0,ABS(E139-50))</f>
        <v>0</v>
      </c>
      <c r="BQ139" s="21" t="str">
        <f>IF(OR(ISBLANK(V139),ISBLANK(W139)),"",IF(SUM(V139,W139)=0,"",CONCATENATE(V139,"-",W139)))</f>
        <v/>
      </c>
      <c r="BR139" s="21" t="str">
        <f>IF(OR(AND(OR(AND(A139&gt;75,X139="Final Handicap"),AND(A139&gt;25,X139="1st half Handicap")),OR(AND(G139&gt;20,U139&lt;T139,E139&gt;45),AND(G139&lt;-20,U139&gt;T139,E139&lt;55))),AND(AND(A139-Y139&lt;200,A139-Y139&gt;9),OR(AND(A139&gt;75,X139="Final Handicap"),AND(A139&gt;25,X139="1st half Handicap")),OR(AND(AK139&gt;20,U139&lt;T139,E139&gt;45),AND(AK139&lt;-20,U139&gt;T139,E139&lt;55))),AND(AND(A139-AL139&lt;200,A139-AL139&gt;9),OR(AND(A139&gt;75,X139="Final Handicap"),AND(A139&gt;25,X139="1st half Handicap")),OR(AND(AX139&gt;20,U139&lt;T139,E139&gt;45),AND(AX139&lt;-20,U139&gt;T139,E139&lt;55))),AND(AND(A139-AY139&lt;200,A139-AY139&gt;9),OR(AND(A139&gt;75,X139="Final Handicap"),AND(A139&gt;25,X139="1st half Handicap")),OR(AND(BK139&gt;20,U139&lt;T139,E139&gt;45),AND(BK139&lt;-20,U139&gt;T139,E139&lt;55)))),"GOOD","")</f>
        <v/>
      </c>
      <c r="BS139" s="21"/>
    </row>
    <row r="140" spans="1:71" ht="17.25" x14ac:dyDescent="0.3">
      <c r="A140" s="3"/>
      <c r="D140" s="8" t="str">
        <f>IF(ISBLANK(T140),"",CONCATENATE(T140,"-",U140))</f>
        <v/>
      </c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>
        <f>IF(NOT(ISBLANK(G140)),ABS(G140),0)</f>
        <v>0</v>
      </c>
      <c r="BM140">
        <f>IF(NOT(ISBLANK(AK140)),ABS(AK140),0)</f>
        <v>0</v>
      </c>
      <c r="BN140">
        <f>IF(NOT(ISBLANK(AX140)),ABS(AX140),0)</f>
        <v>0</v>
      </c>
      <c r="BO140">
        <f>IF(NOT(ISBLANK(BK140)),ABS(BK140),0)</f>
        <v>0</v>
      </c>
      <c r="BP140">
        <f>IF(ISBLANK(E140),0,ABS(E140-50))</f>
        <v>0</v>
      </c>
      <c r="BQ140" s="21" t="str">
        <f>IF(OR(ISBLANK(V140),ISBLANK(W140)),"",IF(SUM(V140,W140)=0,"",CONCATENATE(V140,"-",W140)))</f>
        <v/>
      </c>
      <c r="BR140" s="21" t="str">
        <f>IF(OR(AND(OR(AND(A140&gt;75,X140="Final Handicap"),AND(A140&gt;25,X140="1st half Handicap")),OR(AND(G140&gt;20,U140&lt;T140,E140&gt;45),AND(G140&lt;-20,U140&gt;T140,E140&lt;55))),AND(AND(A140-Y140&lt;200,A140-Y140&gt;9),OR(AND(A140&gt;75,X140="Final Handicap"),AND(A140&gt;25,X140="1st half Handicap")),OR(AND(AK140&gt;20,U140&lt;T140,E140&gt;45),AND(AK140&lt;-20,U140&gt;T140,E140&lt;55))),AND(AND(A140-AL140&lt;200,A140-AL140&gt;9),OR(AND(A140&gt;75,X140="Final Handicap"),AND(A140&gt;25,X140="1st half Handicap")),OR(AND(AX140&gt;20,U140&lt;T140,E140&gt;45),AND(AX140&lt;-20,U140&gt;T140,E140&lt;55))),AND(AND(A140-AY140&lt;200,A140-AY140&gt;9),OR(AND(A140&gt;75,X140="Final Handicap"),AND(A140&gt;25,X140="1st half Handicap")),OR(AND(BK140&gt;20,U140&lt;T140,E140&gt;45),AND(BK140&lt;-20,U140&gt;T140,E140&lt;55)))),"GOOD","")</f>
        <v/>
      </c>
      <c r="BS140" s="21"/>
    </row>
    <row r="141" spans="1:71" ht="17.25" x14ac:dyDescent="0.3">
      <c r="A141" s="3"/>
      <c r="D141" s="8" t="str">
        <f>IF(ISBLANK(T141),"",CONCATENATE(T141,"-",U141))</f>
        <v/>
      </c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>
        <f>IF(NOT(ISBLANK(G141)),ABS(G141),0)</f>
        <v>0</v>
      </c>
      <c r="BM141">
        <f>IF(NOT(ISBLANK(AK141)),ABS(AK141),0)</f>
        <v>0</v>
      </c>
      <c r="BN141">
        <f>IF(NOT(ISBLANK(AX141)),ABS(AX141),0)</f>
        <v>0</v>
      </c>
      <c r="BO141">
        <f>IF(NOT(ISBLANK(BK141)),ABS(BK141),0)</f>
        <v>0</v>
      </c>
      <c r="BP141">
        <f>IF(ISBLANK(E141),0,ABS(E141-50))</f>
        <v>0</v>
      </c>
      <c r="BQ141" s="21" t="str">
        <f>IF(OR(ISBLANK(V141),ISBLANK(W141)),"",IF(SUM(V141,W141)=0,"",CONCATENATE(V141,"-",W141)))</f>
        <v/>
      </c>
      <c r="BR141" s="21" t="str">
        <f>IF(OR(AND(OR(AND(A141&gt;75,X141="Final Handicap"),AND(A141&gt;25,X141="1st half Handicap")),OR(AND(G141&gt;20,U141&lt;T141,E141&gt;45),AND(G141&lt;-20,U141&gt;T141,E141&lt;55))),AND(AND(A141-Y141&lt;200,A141-Y141&gt;9),OR(AND(A141&gt;75,X141="Final Handicap"),AND(A141&gt;25,X141="1st half Handicap")),OR(AND(AK141&gt;20,U141&lt;T141,E141&gt;45),AND(AK141&lt;-20,U141&gt;T141,E141&lt;55))),AND(AND(A141-AL141&lt;200,A141-AL141&gt;9),OR(AND(A141&gt;75,X141="Final Handicap"),AND(A141&gt;25,X141="1st half Handicap")),OR(AND(AX141&gt;20,U141&lt;T141,E141&gt;45),AND(AX141&lt;-20,U141&gt;T141,E141&lt;55))),AND(AND(A141-AY141&lt;200,A141-AY141&gt;9),OR(AND(A141&gt;75,X141="Final Handicap"),AND(A141&gt;25,X141="1st half Handicap")),OR(AND(BK141&gt;20,U141&lt;T141,E141&gt;45),AND(BK141&lt;-20,U141&gt;T141,E141&lt;55)))),"GOOD","")</f>
        <v/>
      </c>
      <c r="BS141" s="21"/>
    </row>
    <row r="142" spans="1:71" ht="17.25" x14ac:dyDescent="0.3">
      <c r="A142" s="3"/>
      <c r="D142" s="8" t="str">
        <f>IF(ISBLANK(T142),"",CONCATENATE(T142,"-",U142))</f>
        <v/>
      </c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>
        <f>IF(NOT(ISBLANK(G142)),ABS(G142),0)</f>
        <v>0</v>
      </c>
      <c r="BM142">
        <f>IF(NOT(ISBLANK(AK142)),ABS(AK142),0)</f>
        <v>0</v>
      </c>
      <c r="BN142">
        <f>IF(NOT(ISBLANK(AX142)),ABS(AX142),0)</f>
        <v>0</v>
      </c>
      <c r="BO142">
        <f>IF(NOT(ISBLANK(BK142)),ABS(BK142),0)</f>
        <v>0</v>
      </c>
      <c r="BP142">
        <f>IF(ISBLANK(E142),0,ABS(E142-50))</f>
        <v>0</v>
      </c>
      <c r="BQ142" s="21" t="str">
        <f>IF(OR(ISBLANK(V142),ISBLANK(W142)),"",IF(SUM(V142,W142)=0,"",CONCATENATE(V142,"-",W142)))</f>
        <v/>
      </c>
      <c r="BR142" s="21" t="str">
        <f>IF(OR(AND(OR(AND(A142&gt;75,X142="Final Handicap"),AND(A142&gt;25,X142="1st half Handicap")),OR(AND(G142&gt;20,U142&lt;T142,E142&gt;45),AND(G142&lt;-20,U142&gt;T142,E142&lt;55))),AND(AND(A142-Y142&lt;200,A142-Y142&gt;9),OR(AND(A142&gt;75,X142="Final Handicap"),AND(A142&gt;25,X142="1st half Handicap")),OR(AND(AK142&gt;20,U142&lt;T142,E142&gt;45),AND(AK142&lt;-20,U142&gt;T142,E142&lt;55))),AND(AND(A142-AL142&lt;200,A142-AL142&gt;9),OR(AND(A142&gt;75,X142="Final Handicap"),AND(A142&gt;25,X142="1st half Handicap")),OR(AND(AX142&gt;20,U142&lt;T142,E142&gt;45),AND(AX142&lt;-20,U142&gt;T142,E142&lt;55))),AND(AND(A142-AY142&lt;200,A142-AY142&gt;9),OR(AND(A142&gt;75,X142="Final Handicap"),AND(A142&gt;25,X142="1st half Handicap")),OR(AND(BK142&gt;20,U142&lt;T142,E142&gt;45),AND(BK142&lt;-20,U142&gt;T142,E142&lt;55)))),"GOOD","")</f>
        <v/>
      </c>
      <c r="BS142" s="21"/>
    </row>
    <row r="143" spans="1:71" ht="17.25" x14ac:dyDescent="0.3">
      <c r="A143" s="3"/>
      <c r="D143" s="8" t="str">
        <f>IF(ISBLANK(T143),"",CONCATENATE(T143,"-",U143))</f>
        <v/>
      </c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>
        <f>IF(NOT(ISBLANK(G143)),ABS(G143),0)</f>
        <v>0</v>
      </c>
      <c r="BM143">
        <f>IF(NOT(ISBLANK(AK143)),ABS(AK143),0)</f>
        <v>0</v>
      </c>
      <c r="BN143">
        <f>IF(NOT(ISBLANK(AX143)),ABS(AX143),0)</f>
        <v>0</v>
      </c>
      <c r="BO143">
        <f>IF(NOT(ISBLANK(BK143)),ABS(BK143),0)</f>
        <v>0</v>
      </c>
      <c r="BP143">
        <f>IF(ISBLANK(E143),0,ABS(E143-50))</f>
        <v>0</v>
      </c>
      <c r="BQ143" s="21" t="str">
        <f>IF(OR(ISBLANK(V143),ISBLANK(W143)),"",IF(SUM(V143,W143)=0,"",CONCATENATE(V143,"-",W143)))</f>
        <v/>
      </c>
      <c r="BR143" s="21" t="str">
        <f>IF(OR(AND(OR(AND(A143&gt;75,X143="Final Handicap"),AND(A143&gt;25,X143="1st half Handicap")),OR(AND(G143&gt;20,U143&lt;T143,E143&gt;45),AND(G143&lt;-20,U143&gt;T143,E143&lt;55))),AND(AND(A143-Y143&lt;200,A143-Y143&gt;9),OR(AND(A143&gt;75,X143="Final Handicap"),AND(A143&gt;25,X143="1st half Handicap")),OR(AND(AK143&gt;20,U143&lt;T143,E143&gt;45),AND(AK143&lt;-20,U143&gt;T143,E143&lt;55))),AND(AND(A143-AL143&lt;200,A143-AL143&gt;9),OR(AND(A143&gt;75,X143="Final Handicap"),AND(A143&gt;25,X143="1st half Handicap")),OR(AND(AX143&gt;20,U143&lt;T143,E143&gt;45),AND(AX143&lt;-20,U143&gt;T143,E143&lt;55))),AND(AND(A143-AY143&lt;200,A143-AY143&gt;9),OR(AND(A143&gt;75,X143="Final Handicap"),AND(A143&gt;25,X143="1st half Handicap")),OR(AND(BK143&gt;20,U143&lt;T143,E143&gt;45),AND(BK143&lt;-20,U143&gt;T143,E143&lt;55)))),"GOOD","")</f>
        <v/>
      </c>
      <c r="BS143" s="21"/>
    </row>
    <row r="144" spans="1:71" ht="17.25" x14ac:dyDescent="0.3">
      <c r="A144" s="3"/>
      <c r="D144" s="8" t="str">
        <f>IF(ISBLANK(T144),"",CONCATENATE(T144,"-",U144))</f>
        <v/>
      </c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>
        <f>IF(NOT(ISBLANK(G144)),ABS(G144),0)</f>
        <v>0</v>
      </c>
      <c r="BM144">
        <f>IF(NOT(ISBLANK(AK144)),ABS(AK144),0)</f>
        <v>0</v>
      </c>
      <c r="BN144">
        <f>IF(NOT(ISBLANK(AX144)),ABS(AX144),0)</f>
        <v>0</v>
      </c>
      <c r="BO144">
        <f>IF(NOT(ISBLANK(BK144)),ABS(BK144),0)</f>
        <v>0</v>
      </c>
      <c r="BP144">
        <f>IF(ISBLANK(E144),0,ABS(E144-50))</f>
        <v>0</v>
      </c>
      <c r="BQ144" s="21" t="str">
        <f>IF(OR(ISBLANK(V144),ISBLANK(W144)),"",IF(SUM(V144,W144)=0,"",CONCATENATE(V144,"-",W144)))</f>
        <v/>
      </c>
      <c r="BR144" s="21" t="str">
        <f>IF(OR(AND(OR(AND(A144&gt;75,X144="Final Handicap"),AND(A144&gt;25,X144="1st half Handicap")),OR(AND(G144&gt;20,U144&lt;T144,E144&gt;45),AND(G144&lt;-20,U144&gt;T144,E144&lt;55))),AND(AND(A144-Y144&lt;200,A144-Y144&gt;9),OR(AND(A144&gt;75,X144="Final Handicap"),AND(A144&gt;25,X144="1st half Handicap")),OR(AND(AK144&gt;20,U144&lt;T144,E144&gt;45),AND(AK144&lt;-20,U144&gt;T144,E144&lt;55))),AND(AND(A144-AL144&lt;200,A144-AL144&gt;9),OR(AND(A144&gt;75,X144="Final Handicap"),AND(A144&gt;25,X144="1st half Handicap")),OR(AND(AX144&gt;20,U144&lt;T144,E144&gt;45),AND(AX144&lt;-20,U144&gt;T144,E144&lt;55))),AND(AND(A144-AY144&lt;200,A144-AY144&gt;9),OR(AND(A144&gt;75,X144="Final Handicap"),AND(A144&gt;25,X144="1st half Handicap")),OR(AND(BK144&gt;20,U144&lt;T144,E144&gt;45),AND(BK144&lt;-20,U144&gt;T144,E144&lt;55)))),"GOOD","")</f>
        <v/>
      </c>
      <c r="BS144" s="21"/>
    </row>
    <row r="145" spans="1:71" ht="17.25" x14ac:dyDescent="0.3">
      <c r="A145" s="3"/>
      <c r="D145" s="8" t="str">
        <f>IF(ISBLANK(T145),"",CONCATENATE(T145,"-",U145))</f>
        <v/>
      </c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>
        <f>IF(NOT(ISBLANK(G145)),ABS(G145),0)</f>
        <v>0</v>
      </c>
      <c r="BM145">
        <f>IF(NOT(ISBLANK(AK145)),ABS(AK145),0)</f>
        <v>0</v>
      </c>
      <c r="BN145">
        <f>IF(NOT(ISBLANK(AX145)),ABS(AX145),0)</f>
        <v>0</v>
      </c>
      <c r="BO145">
        <f>IF(NOT(ISBLANK(BK145)),ABS(BK145),0)</f>
        <v>0</v>
      </c>
      <c r="BP145">
        <f>IF(ISBLANK(E145),0,ABS(E145-50))</f>
        <v>0</v>
      </c>
      <c r="BQ145" s="21" t="str">
        <f>IF(OR(ISBLANK(V145),ISBLANK(W145)),"",IF(SUM(V145,W145)=0,"",CONCATENATE(V145,"-",W145)))</f>
        <v/>
      </c>
      <c r="BR145" s="21" t="str">
        <f>IF(OR(AND(OR(AND(A145&gt;75,X145="Final Handicap"),AND(A145&gt;25,X145="1st half Handicap")),OR(AND(G145&gt;20,U145&lt;T145,E145&gt;45),AND(G145&lt;-20,U145&gt;T145,E145&lt;55))),AND(AND(A145-Y145&lt;200,A145-Y145&gt;9),OR(AND(A145&gt;75,X145="Final Handicap"),AND(A145&gt;25,X145="1st half Handicap")),OR(AND(AK145&gt;20,U145&lt;T145,E145&gt;45),AND(AK145&lt;-20,U145&gt;T145,E145&lt;55))),AND(AND(A145-AL145&lt;200,A145-AL145&gt;9),OR(AND(A145&gt;75,X145="Final Handicap"),AND(A145&gt;25,X145="1st half Handicap")),OR(AND(AX145&gt;20,U145&lt;T145,E145&gt;45),AND(AX145&lt;-20,U145&gt;T145,E145&lt;55))),AND(AND(A145-AY145&lt;200,A145-AY145&gt;9),OR(AND(A145&gt;75,X145="Final Handicap"),AND(A145&gt;25,X145="1st half Handicap")),OR(AND(BK145&gt;20,U145&lt;T145,E145&gt;45),AND(BK145&lt;-20,U145&gt;T145,E145&lt;55)))),"GOOD","")</f>
        <v/>
      </c>
      <c r="BS145" s="21"/>
    </row>
    <row r="146" spans="1:71" ht="17.25" x14ac:dyDescent="0.3">
      <c r="A146" s="3"/>
      <c r="D146" s="8" t="str">
        <f>IF(ISBLANK(T146),"",CONCATENATE(T146,"-",U146))</f>
        <v/>
      </c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>
        <f>IF(NOT(ISBLANK(G146)),ABS(G146),0)</f>
        <v>0</v>
      </c>
      <c r="BM146">
        <f>IF(NOT(ISBLANK(AK146)),ABS(AK146),0)</f>
        <v>0</v>
      </c>
      <c r="BN146">
        <f>IF(NOT(ISBLANK(AX146)),ABS(AX146),0)</f>
        <v>0</v>
      </c>
      <c r="BO146">
        <f>IF(NOT(ISBLANK(BK146)),ABS(BK146),0)</f>
        <v>0</v>
      </c>
      <c r="BP146">
        <f>IF(ISBLANK(E146),0,ABS(E146-50))</f>
        <v>0</v>
      </c>
      <c r="BQ146" s="21" t="str">
        <f>IF(OR(ISBLANK(V146),ISBLANK(W146)),"",IF(SUM(V146,W146)=0,"",CONCATENATE(V146,"-",W146)))</f>
        <v/>
      </c>
      <c r="BR146" s="21" t="str">
        <f>IF(OR(AND(OR(AND(A146&gt;75,X146="Final Handicap"),AND(A146&gt;25,X146="1st half Handicap")),OR(AND(G146&gt;20,U146&lt;T146,E146&gt;45),AND(G146&lt;-20,U146&gt;T146,E146&lt;55))),AND(AND(A146-Y146&lt;200,A146-Y146&gt;9),OR(AND(A146&gt;75,X146="Final Handicap"),AND(A146&gt;25,X146="1st half Handicap")),OR(AND(AK146&gt;20,U146&lt;T146,E146&gt;45),AND(AK146&lt;-20,U146&gt;T146,E146&lt;55))),AND(AND(A146-AL146&lt;200,A146-AL146&gt;9),OR(AND(A146&gt;75,X146="Final Handicap"),AND(A146&gt;25,X146="1st half Handicap")),OR(AND(AX146&gt;20,U146&lt;T146,E146&gt;45),AND(AX146&lt;-20,U146&gt;T146,E146&lt;55))),AND(AND(A146-AY146&lt;200,A146-AY146&gt;9),OR(AND(A146&gt;75,X146="Final Handicap"),AND(A146&gt;25,X146="1st half Handicap")),OR(AND(BK146&gt;20,U146&lt;T146,E146&gt;45),AND(BK146&lt;-20,U146&gt;T146,E146&lt;55)))),"GOOD","")</f>
        <v/>
      </c>
      <c r="BS146" s="21"/>
    </row>
    <row r="147" spans="1:71" ht="17.25" x14ac:dyDescent="0.3">
      <c r="A147" s="3"/>
      <c r="D147" s="8" t="str">
        <f>IF(ISBLANK(T147),"",CONCATENATE(T147,"-",U147))</f>
        <v/>
      </c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>
        <f>IF(NOT(ISBLANK(G147)),ABS(G147),0)</f>
        <v>0</v>
      </c>
      <c r="BM147">
        <f>IF(NOT(ISBLANK(AK147)),ABS(AK147),0)</f>
        <v>0</v>
      </c>
      <c r="BN147">
        <f>IF(NOT(ISBLANK(AX147)),ABS(AX147),0)</f>
        <v>0</v>
      </c>
      <c r="BO147">
        <f>IF(NOT(ISBLANK(BK147)),ABS(BK147),0)</f>
        <v>0</v>
      </c>
      <c r="BP147">
        <f>IF(ISBLANK(E147),0,ABS(E147-50))</f>
        <v>0</v>
      </c>
      <c r="BQ147" s="21" t="str">
        <f>IF(OR(ISBLANK(V147),ISBLANK(W147)),"",IF(SUM(V147,W147)=0,"",CONCATENATE(V147,"-",W147)))</f>
        <v/>
      </c>
      <c r="BR147" s="21" t="str">
        <f>IF(OR(AND(OR(AND(A147&gt;75,X147="Final Handicap"),AND(A147&gt;25,X147="1st half Handicap")),OR(AND(G147&gt;20,U147&lt;T147,E147&gt;45),AND(G147&lt;-20,U147&gt;T147,E147&lt;55))),AND(AND(A147-Y147&lt;200,A147-Y147&gt;9),OR(AND(A147&gt;75,X147="Final Handicap"),AND(A147&gt;25,X147="1st half Handicap")),OR(AND(AK147&gt;20,U147&lt;T147,E147&gt;45),AND(AK147&lt;-20,U147&gt;T147,E147&lt;55))),AND(AND(A147-AL147&lt;200,A147-AL147&gt;9),OR(AND(A147&gt;75,X147="Final Handicap"),AND(A147&gt;25,X147="1st half Handicap")),OR(AND(AX147&gt;20,U147&lt;T147,E147&gt;45),AND(AX147&lt;-20,U147&gt;T147,E147&lt;55))),AND(AND(A147-AY147&lt;200,A147-AY147&gt;9),OR(AND(A147&gt;75,X147="Final Handicap"),AND(A147&gt;25,X147="1st half Handicap")),OR(AND(BK147&gt;20,U147&lt;T147,E147&gt;45),AND(BK147&lt;-20,U147&gt;T147,E147&lt;55)))),"GOOD","")</f>
        <v/>
      </c>
      <c r="BS147" s="21"/>
    </row>
    <row r="148" spans="1:71" ht="17.25" x14ac:dyDescent="0.3">
      <c r="A148" s="3"/>
      <c r="D148" s="8" t="str">
        <f>IF(ISBLANK(T148),"",CONCATENATE(T148,"-",U148))</f>
        <v/>
      </c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>
        <f>IF(NOT(ISBLANK(G148)),ABS(G148),0)</f>
        <v>0</v>
      </c>
      <c r="BM148">
        <f>IF(NOT(ISBLANK(AK148)),ABS(AK148),0)</f>
        <v>0</v>
      </c>
      <c r="BN148">
        <f>IF(NOT(ISBLANK(AX148)),ABS(AX148),0)</f>
        <v>0</v>
      </c>
      <c r="BO148">
        <f>IF(NOT(ISBLANK(BK148)),ABS(BK148),0)</f>
        <v>0</v>
      </c>
      <c r="BP148">
        <f>IF(ISBLANK(E148),0,ABS(E148-50))</f>
        <v>0</v>
      </c>
      <c r="BQ148" s="21" t="str">
        <f>IF(OR(ISBLANK(V148),ISBLANK(W148)),"",IF(SUM(V148,W148)=0,"",CONCATENATE(V148,"-",W148)))</f>
        <v/>
      </c>
      <c r="BR148" s="21" t="str">
        <f>IF(OR(AND(OR(AND(A148&gt;75,X148="Final Handicap"),AND(A148&gt;25,X148="1st half Handicap")),OR(AND(G148&gt;20,U148&lt;T148,E148&gt;45),AND(G148&lt;-20,U148&gt;T148,E148&lt;55))),AND(AND(A148-Y148&lt;200,A148-Y148&gt;9),OR(AND(A148&gt;75,X148="Final Handicap"),AND(A148&gt;25,X148="1st half Handicap")),OR(AND(AK148&gt;20,U148&lt;T148,E148&gt;45),AND(AK148&lt;-20,U148&gt;T148,E148&lt;55))),AND(AND(A148-AL148&lt;200,A148-AL148&gt;9),OR(AND(A148&gt;75,X148="Final Handicap"),AND(A148&gt;25,X148="1st half Handicap")),OR(AND(AX148&gt;20,U148&lt;T148,E148&gt;45),AND(AX148&lt;-20,U148&gt;T148,E148&lt;55))),AND(AND(A148-AY148&lt;200,A148-AY148&gt;9),OR(AND(A148&gt;75,X148="Final Handicap"),AND(A148&gt;25,X148="1st half Handicap")),OR(AND(BK148&gt;20,U148&lt;T148,E148&gt;45),AND(BK148&lt;-20,U148&gt;T148,E148&lt;55)))),"GOOD","")</f>
        <v/>
      </c>
      <c r="BS148" s="21"/>
    </row>
    <row r="149" spans="1:71" ht="17.25" x14ac:dyDescent="0.3">
      <c r="A149" s="3"/>
      <c r="D149" s="8" t="str">
        <f>IF(ISBLANK(T149),"",CONCATENATE(T149,"-",U149))</f>
        <v/>
      </c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>
        <f>IF(NOT(ISBLANK(G149)),ABS(G149),0)</f>
        <v>0</v>
      </c>
      <c r="BM149">
        <f>IF(NOT(ISBLANK(AK149)),ABS(AK149),0)</f>
        <v>0</v>
      </c>
      <c r="BN149">
        <f>IF(NOT(ISBLANK(AX149)),ABS(AX149),0)</f>
        <v>0</v>
      </c>
      <c r="BO149">
        <f>IF(NOT(ISBLANK(BK149)),ABS(BK149),0)</f>
        <v>0</v>
      </c>
      <c r="BP149">
        <f>IF(ISBLANK(E149),0,ABS(E149-50))</f>
        <v>0</v>
      </c>
      <c r="BQ149" s="21" t="str">
        <f>IF(OR(ISBLANK(V149),ISBLANK(W149)),"",IF(SUM(V149,W149)=0,"",CONCATENATE(V149,"-",W149)))</f>
        <v/>
      </c>
      <c r="BR149" s="21" t="str">
        <f>IF(OR(AND(OR(AND(A149&gt;75,X149="Final Handicap"),AND(A149&gt;25,X149="1st half Handicap")),OR(AND(G149&gt;20,U149&lt;T149,E149&gt;45),AND(G149&lt;-20,U149&gt;T149,E149&lt;55))),AND(AND(A149-Y149&lt;200,A149-Y149&gt;9),OR(AND(A149&gt;75,X149="Final Handicap"),AND(A149&gt;25,X149="1st half Handicap")),OR(AND(AK149&gt;20,U149&lt;T149,E149&gt;45),AND(AK149&lt;-20,U149&gt;T149,E149&lt;55))),AND(AND(A149-AL149&lt;200,A149-AL149&gt;9),OR(AND(A149&gt;75,X149="Final Handicap"),AND(A149&gt;25,X149="1st half Handicap")),OR(AND(AX149&gt;20,U149&lt;T149,E149&gt;45),AND(AX149&lt;-20,U149&gt;T149,E149&lt;55))),AND(AND(A149-AY149&lt;200,A149-AY149&gt;9),OR(AND(A149&gt;75,X149="Final Handicap"),AND(A149&gt;25,X149="1st half Handicap")),OR(AND(BK149&gt;20,U149&lt;T149,E149&gt;45),AND(BK149&lt;-20,U149&gt;T149,E149&lt;55)))),"GOOD","")</f>
        <v/>
      </c>
      <c r="BS149" s="21"/>
    </row>
    <row r="150" spans="1:71" ht="17.25" x14ac:dyDescent="0.3">
      <c r="A150" s="3"/>
      <c r="D150" s="8" t="str">
        <f>IF(ISBLANK(T150),"",CONCATENATE(T150,"-",U150))</f>
        <v/>
      </c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>
        <f>IF(NOT(ISBLANK(G150)),ABS(G150),0)</f>
        <v>0</v>
      </c>
      <c r="BM150">
        <f>IF(NOT(ISBLANK(AK150)),ABS(AK150),0)</f>
        <v>0</v>
      </c>
      <c r="BN150">
        <f>IF(NOT(ISBLANK(AX150)),ABS(AX150),0)</f>
        <v>0</v>
      </c>
      <c r="BO150">
        <f>IF(NOT(ISBLANK(BK150)),ABS(BK150),0)</f>
        <v>0</v>
      </c>
      <c r="BP150">
        <f>IF(ISBLANK(E150),0,ABS(E150-50))</f>
        <v>0</v>
      </c>
      <c r="BQ150" s="21" t="str">
        <f>IF(OR(ISBLANK(V150),ISBLANK(W150)),"",IF(SUM(V150,W150)=0,"",CONCATENATE(V150,"-",W150)))</f>
        <v/>
      </c>
      <c r="BR150" s="21" t="str">
        <f>IF(OR(AND(OR(AND(A150&gt;75,X150="Final Handicap"),AND(A150&gt;25,X150="1st half Handicap")),OR(AND(G150&gt;20,U150&lt;T150,E150&gt;45),AND(G150&lt;-20,U150&gt;T150,E150&lt;55))),AND(AND(A150-Y150&lt;200,A150-Y150&gt;9),OR(AND(A150&gt;75,X150="Final Handicap"),AND(A150&gt;25,X150="1st half Handicap")),OR(AND(AK150&gt;20,U150&lt;T150,E150&gt;45),AND(AK150&lt;-20,U150&gt;T150,E150&lt;55))),AND(AND(A150-AL150&lt;200,A150-AL150&gt;9),OR(AND(A150&gt;75,X150="Final Handicap"),AND(A150&gt;25,X150="1st half Handicap")),OR(AND(AX150&gt;20,U150&lt;T150,E150&gt;45),AND(AX150&lt;-20,U150&gt;T150,E150&lt;55))),AND(AND(A150-AY150&lt;200,A150-AY150&gt;9),OR(AND(A150&gt;75,X150="Final Handicap"),AND(A150&gt;25,X150="1st half Handicap")),OR(AND(BK150&gt;20,U150&lt;T150,E150&gt;45),AND(BK150&lt;-20,U150&gt;T150,E150&lt;55)))),"GOOD","")</f>
        <v/>
      </c>
      <c r="BS150" s="21"/>
    </row>
    <row r="151" spans="1:71" ht="17.25" x14ac:dyDescent="0.3">
      <c r="A151" s="3"/>
      <c r="D151" s="8" t="str">
        <f>IF(ISBLANK(T151),"",CONCATENATE(T151,"-",U151))</f>
        <v/>
      </c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>
        <f>IF(NOT(ISBLANK(G151)),ABS(G151),0)</f>
        <v>0</v>
      </c>
      <c r="BM151">
        <f>IF(NOT(ISBLANK(AK151)),ABS(AK151),0)</f>
        <v>0</v>
      </c>
      <c r="BN151">
        <f>IF(NOT(ISBLANK(AX151)),ABS(AX151),0)</f>
        <v>0</v>
      </c>
      <c r="BO151">
        <f>IF(NOT(ISBLANK(BK151)),ABS(BK151),0)</f>
        <v>0</v>
      </c>
      <c r="BP151">
        <f>IF(ISBLANK(E151),0,ABS(E151-50))</f>
        <v>0</v>
      </c>
      <c r="BQ151" s="21" t="str">
        <f>IF(OR(ISBLANK(V151),ISBLANK(W151)),"",IF(SUM(V151,W151)=0,"",CONCATENATE(V151,"-",W151)))</f>
        <v/>
      </c>
      <c r="BR151" s="21" t="str">
        <f>IF(OR(AND(OR(AND(A151&gt;75,X151="Final Handicap"),AND(A151&gt;25,X151="1st half Handicap")),OR(AND(G151&gt;20,U151&lt;T151,E151&gt;45),AND(G151&lt;-20,U151&gt;T151,E151&lt;55))),AND(AND(A151-Y151&lt;200,A151-Y151&gt;9),OR(AND(A151&gt;75,X151="Final Handicap"),AND(A151&gt;25,X151="1st half Handicap")),OR(AND(AK151&gt;20,U151&lt;T151,E151&gt;45),AND(AK151&lt;-20,U151&gt;T151,E151&lt;55))),AND(AND(A151-AL151&lt;200,A151-AL151&gt;9),OR(AND(A151&gt;75,X151="Final Handicap"),AND(A151&gt;25,X151="1st half Handicap")),OR(AND(AX151&gt;20,U151&lt;T151,E151&gt;45),AND(AX151&lt;-20,U151&gt;T151,E151&lt;55))),AND(AND(A151-AY151&lt;200,A151-AY151&gt;9),OR(AND(A151&gt;75,X151="Final Handicap"),AND(A151&gt;25,X151="1st half Handicap")),OR(AND(BK151&gt;20,U151&lt;T151,E151&gt;45),AND(BK151&lt;-20,U151&gt;T151,E151&lt;55)))),"GOOD","")</f>
        <v/>
      </c>
      <c r="BS151" s="21"/>
    </row>
    <row r="152" spans="1:71" ht="17.25" x14ac:dyDescent="0.3">
      <c r="A152" s="3"/>
      <c r="D152" s="8" t="str">
        <f>IF(ISBLANK(T152),"",CONCATENATE(T152,"-",U152))</f>
        <v/>
      </c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>
        <f>IF(NOT(ISBLANK(G152)),ABS(G152),0)</f>
        <v>0</v>
      </c>
      <c r="BM152">
        <f>IF(NOT(ISBLANK(AK152)),ABS(AK152),0)</f>
        <v>0</v>
      </c>
      <c r="BN152">
        <f>IF(NOT(ISBLANK(AX152)),ABS(AX152),0)</f>
        <v>0</v>
      </c>
      <c r="BO152">
        <f>IF(NOT(ISBLANK(BK152)),ABS(BK152),0)</f>
        <v>0</v>
      </c>
      <c r="BP152">
        <f>IF(ISBLANK(E152),0,ABS(E152-50))</f>
        <v>0</v>
      </c>
      <c r="BQ152" s="21" t="str">
        <f>IF(OR(ISBLANK(V152),ISBLANK(W152)),"",IF(SUM(V152,W152)=0,"",CONCATENATE(V152,"-",W152)))</f>
        <v/>
      </c>
      <c r="BR152" s="21" t="str">
        <f>IF(OR(AND(OR(AND(A152&gt;75,X152="Final Handicap"),AND(A152&gt;25,X152="1st half Handicap")),OR(AND(G152&gt;20,U152&lt;T152,E152&gt;45),AND(G152&lt;-20,U152&gt;T152,E152&lt;55))),AND(AND(A152-Y152&lt;200,A152-Y152&gt;9),OR(AND(A152&gt;75,X152="Final Handicap"),AND(A152&gt;25,X152="1st half Handicap")),OR(AND(AK152&gt;20,U152&lt;T152,E152&gt;45),AND(AK152&lt;-20,U152&gt;T152,E152&lt;55))),AND(AND(A152-AL152&lt;200,A152-AL152&gt;9),OR(AND(A152&gt;75,X152="Final Handicap"),AND(A152&gt;25,X152="1st half Handicap")),OR(AND(AX152&gt;20,U152&lt;T152,E152&gt;45),AND(AX152&lt;-20,U152&gt;T152,E152&lt;55))),AND(AND(A152-AY152&lt;200,A152-AY152&gt;9),OR(AND(A152&gt;75,X152="Final Handicap"),AND(A152&gt;25,X152="1st half Handicap")),OR(AND(BK152&gt;20,U152&lt;T152,E152&gt;45),AND(BK152&lt;-20,U152&gt;T152,E152&lt;55)))),"GOOD","")</f>
        <v/>
      </c>
      <c r="BS152" s="21"/>
    </row>
    <row r="153" spans="1:71" ht="17.25" x14ac:dyDescent="0.3">
      <c r="A153" s="3"/>
      <c r="D153" s="8" t="str">
        <f>IF(ISBLANK(T153),"",CONCATENATE(T153,"-",U153))</f>
        <v/>
      </c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>
        <f>IF(NOT(ISBLANK(G153)),ABS(G153),0)</f>
        <v>0</v>
      </c>
      <c r="BM153">
        <f>IF(NOT(ISBLANK(AK153)),ABS(AK153),0)</f>
        <v>0</v>
      </c>
      <c r="BN153">
        <f>IF(NOT(ISBLANK(AX153)),ABS(AX153),0)</f>
        <v>0</v>
      </c>
      <c r="BO153">
        <f>IF(NOT(ISBLANK(BK153)),ABS(BK153),0)</f>
        <v>0</v>
      </c>
      <c r="BP153">
        <f>IF(ISBLANK(E153),0,ABS(E153-50))</f>
        <v>0</v>
      </c>
      <c r="BQ153" s="21" t="str">
        <f>IF(OR(ISBLANK(V153),ISBLANK(W153)),"",IF(SUM(V153,W153)=0,"",CONCATENATE(V153,"-",W153)))</f>
        <v/>
      </c>
      <c r="BR153" s="21" t="str">
        <f>IF(OR(AND(OR(AND(A153&gt;75,X153="Final Handicap"),AND(A153&gt;25,X153="1st half Handicap")),OR(AND(G153&gt;20,U153&lt;T153,E153&gt;45),AND(G153&lt;-20,U153&gt;T153,E153&lt;55))),AND(AND(A153-Y153&lt;200,A153-Y153&gt;9),OR(AND(A153&gt;75,X153="Final Handicap"),AND(A153&gt;25,X153="1st half Handicap")),OR(AND(AK153&gt;20,U153&lt;T153,E153&gt;45),AND(AK153&lt;-20,U153&gt;T153,E153&lt;55))),AND(AND(A153-AL153&lt;200,A153-AL153&gt;9),OR(AND(A153&gt;75,X153="Final Handicap"),AND(A153&gt;25,X153="1st half Handicap")),OR(AND(AX153&gt;20,U153&lt;T153,E153&gt;45),AND(AX153&lt;-20,U153&gt;T153,E153&lt;55))),AND(AND(A153-AY153&lt;200,A153-AY153&gt;9),OR(AND(A153&gt;75,X153="Final Handicap"),AND(A153&gt;25,X153="1st half Handicap")),OR(AND(BK153&gt;20,U153&lt;T153,E153&gt;45),AND(BK153&lt;-20,U153&gt;T153,E153&lt;55)))),"GOOD","")</f>
        <v/>
      </c>
      <c r="BS153" s="21"/>
    </row>
    <row r="154" spans="1:71" ht="17.25" x14ac:dyDescent="0.3">
      <c r="A154" s="3"/>
      <c r="D154" s="8" t="str">
        <f>IF(ISBLANK(T154),"",CONCATENATE(T154,"-",U154))</f>
        <v/>
      </c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>
        <f>IF(NOT(ISBLANK(G154)),ABS(G154),0)</f>
        <v>0</v>
      </c>
      <c r="BM154">
        <f>IF(NOT(ISBLANK(AK154)),ABS(AK154),0)</f>
        <v>0</v>
      </c>
      <c r="BN154">
        <f>IF(NOT(ISBLANK(AX154)),ABS(AX154),0)</f>
        <v>0</v>
      </c>
      <c r="BO154">
        <f>IF(NOT(ISBLANK(BK154)),ABS(BK154),0)</f>
        <v>0</v>
      </c>
      <c r="BP154">
        <f>IF(ISBLANK(E154),0,ABS(E154-50))</f>
        <v>0</v>
      </c>
      <c r="BQ154" s="21" t="str">
        <f>IF(OR(ISBLANK(V154),ISBLANK(W154)),"",IF(SUM(V154,W154)=0,"",CONCATENATE(V154,"-",W154)))</f>
        <v/>
      </c>
      <c r="BR154" s="21" t="str">
        <f>IF(OR(AND(OR(AND(A154&gt;75,X154="Final Handicap"),AND(A154&gt;25,X154="1st half Handicap")),OR(AND(G154&gt;20,U154&lt;T154,E154&gt;45),AND(G154&lt;-20,U154&gt;T154,E154&lt;55))),AND(AND(A154-Y154&lt;200,A154-Y154&gt;9),OR(AND(A154&gt;75,X154="Final Handicap"),AND(A154&gt;25,X154="1st half Handicap")),OR(AND(AK154&gt;20,U154&lt;T154,E154&gt;45),AND(AK154&lt;-20,U154&gt;T154,E154&lt;55))),AND(AND(A154-AL154&lt;200,A154-AL154&gt;9),OR(AND(A154&gt;75,X154="Final Handicap"),AND(A154&gt;25,X154="1st half Handicap")),OR(AND(AX154&gt;20,U154&lt;T154,E154&gt;45),AND(AX154&lt;-20,U154&gt;T154,E154&lt;55))),AND(AND(A154-AY154&lt;200,A154-AY154&gt;9),OR(AND(A154&gt;75,X154="Final Handicap"),AND(A154&gt;25,X154="1st half Handicap")),OR(AND(BK154&gt;20,U154&lt;T154,E154&gt;45),AND(BK154&lt;-20,U154&gt;T154,E154&lt;55)))),"GOOD","")</f>
        <v/>
      </c>
      <c r="BS154" s="21"/>
    </row>
    <row r="155" spans="1:71" ht="17.25" x14ac:dyDescent="0.3">
      <c r="A155" s="3"/>
      <c r="D155" s="8" t="str">
        <f>IF(ISBLANK(T155),"",CONCATENATE(T155,"-",U155))</f>
        <v/>
      </c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>
        <f>IF(NOT(ISBLANK(G155)),ABS(G155),0)</f>
        <v>0</v>
      </c>
      <c r="BM155">
        <f>IF(NOT(ISBLANK(AK155)),ABS(AK155),0)</f>
        <v>0</v>
      </c>
      <c r="BN155">
        <f>IF(NOT(ISBLANK(AX155)),ABS(AX155),0)</f>
        <v>0</v>
      </c>
      <c r="BO155">
        <f>IF(NOT(ISBLANK(BK155)),ABS(BK155),0)</f>
        <v>0</v>
      </c>
      <c r="BP155">
        <f>IF(ISBLANK(E155),0,ABS(E155-50))</f>
        <v>0</v>
      </c>
      <c r="BQ155" s="21" t="str">
        <f>IF(OR(ISBLANK(V155),ISBLANK(W155)),"",IF(SUM(V155,W155)=0,"",CONCATENATE(V155,"-",W155)))</f>
        <v/>
      </c>
      <c r="BR155" s="21" t="str">
        <f>IF(OR(AND(OR(AND(A155&gt;75,X155="Final Handicap"),AND(A155&gt;25,X155="1st half Handicap")),OR(AND(G155&gt;20,U155&lt;T155,E155&gt;45),AND(G155&lt;-20,U155&gt;T155,E155&lt;55))),AND(AND(A155-Y155&lt;200,A155-Y155&gt;9),OR(AND(A155&gt;75,X155="Final Handicap"),AND(A155&gt;25,X155="1st half Handicap")),OR(AND(AK155&gt;20,U155&lt;T155,E155&gt;45),AND(AK155&lt;-20,U155&gt;T155,E155&lt;55))),AND(AND(A155-AL155&lt;200,A155-AL155&gt;9),OR(AND(A155&gt;75,X155="Final Handicap"),AND(A155&gt;25,X155="1st half Handicap")),OR(AND(AX155&gt;20,U155&lt;T155,E155&gt;45),AND(AX155&lt;-20,U155&gt;T155,E155&lt;55))),AND(AND(A155-AY155&lt;200,A155-AY155&gt;9),OR(AND(A155&gt;75,X155="Final Handicap"),AND(A155&gt;25,X155="1st half Handicap")),OR(AND(BK155&gt;20,U155&lt;T155,E155&gt;45),AND(BK155&lt;-20,U155&gt;T155,E155&lt;55)))),"GOOD","")</f>
        <v/>
      </c>
      <c r="BS155" s="21"/>
    </row>
    <row r="156" spans="1:71" ht="17.25" x14ac:dyDescent="0.3">
      <c r="A156" s="3"/>
      <c r="D156" s="8" t="str">
        <f>IF(ISBLANK(T156),"",CONCATENATE(T156,"-",U156))</f>
        <v/>
      </c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>
        <f>IF(NOT(ISBLANK(G156)),ABS(G156),0)</f>
        <v>0</v>
      </c>
      <c r="BM156">
        <f>IF(NOT(ISBLANK(AK156)),ABS(AK156),0)</f>
        <v>0</v>
      </c>
      <c r="BN156">
        <f>IF(NOT(ISBLANK(AX156)),ABS(AX156),0)</f>
        <v>0</v>
      </c>
      <c r="BO156">
        <f>IF(NOT(ISBLANK(BK156)),ABS(BK156),0)</f>
        <v>0</v>
      </c>
      <c r="BP156">
        <f>IF(ISBLANK(E156),0,ABS(E156-50))</f>
        <v>0</v>
      </c>
      <c r="BQ156" s="21" t="str">
        <f>IF(OR(ISBLANK(V156),ISBLANK(W156)),"",IF(SUM(V156,W156)=0,"",CONCATENATE(V156,"-",W156)))</f>
        <v/>
      </c>
      <c r="BR156" s="21" t="str">
        <f>IF(OR(AND(OR(AND(A156&gt;75,X156="Final Handicap"),AND(A156&gt;25,X156="1st half Handicap")),OR(AND(G156&gt;20,U156&lt;T156,E156&gt;45),AND(G156&lt;-20,U156&gt;T156,E156&lt;55))),AND(AND(A156-Y156&lt;200,A156-Y156&gt;9),OR(AND(A156&gt;75,X156="Final Handicap"),AND(A156&gt;25,X156="1st half Handicap")),OR(AND(AK156&gt;20,U156&lt;T156,E156&gt;45),AND(AK156&lt;-20,U156&gt;T156,E156&lt;55))),AND(AND(A156-AL156&lt;200,A156-AL156&gt;9),OR(AND(A156&gt;75,X156="Final Handicap"),AND(A156&gt;25,X156="1st half Handicap")),OR(AND(AX156&gt;20,U156&lt;T156,E156&gt;45),AND(AX156&lt;-20,U156&gt;T156,E156&lt;55))),AND(AND(A156-AY156&lt;200,A156-AY156&gt;9),OR(AND(A156&gt;75,X156="Final Handicap"),AND(A156&gt;25,X156="1st half Handicap")),OR(AND(BK156&gt;20,U156&lt;T156,E156&gt;45),AND(BK156&lt;-20,U156&gt;T156,E156&lt;55)))),"GOOD","")</f>
        <v/>
      </c>
      <c r="BS156" s="21"/>
    </row>
    <row r="157" spans="1:71" ht="17.25" x14ac:dyDescent="0.3">
      <c r="A157" s="3"/>
      <c r="D157" s="8" t="str">
        <f>IF(ISBLANK(T157),"",CONCATENATE(T157,"-",U157))</f>
        <v/>
      </c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>
        <f>IF(NOT(ISBLANK(G157)),ABS(G157),0)</f>
        <v>0</v>
      </c>
      <c r="BM157">
        <f>IF(NOT(ISBLANK(AK157)),ABS(AK157),0)</f>
        <v>0</v>
      </c>
      <c r="BN157">
        <f>IF(NOT(ISBLANK(AX157)),ABS(AX157),0)</f>
        <v>0</v>
      </c>
      <c r="BO157">
        <f>IF(NOT(ISBLANK(BK157)),ABS(BK157),0)</f>
        <v>0</v>
      </c>
      <c r="BP157">
        <f>IF(ISBLANK(E157),0,ABS(E157-50))</f>
        <v>0</v>
      </c>
      <c r="BQ157" s="21" t="str">
        <f>IF(OR(ISBLANK(V157),ISBLANK(W157)),"",IF(SUM(V157,W157)=0,"",CONCATENATE(V157,"-",W157)))</f>
        <v/>
      </c>
      <c r="BR157" s="21" t="str">
        <f>IF(OR(AND(OR(AND(A157&gt;75,X157="Final Handicap"),AND(A157&gt;25,X157="1st half Handicap")),OR(AND(G157&gt;20,U157&lt;T157,E157&gt;45),AND(G157&lt;-20,U157&gt;T157,E157&lt;55))),AND(AND(A157-Y157&lt;200,A157-Y157&gt;9),OR(AND(A157&gt;75,X157="Final Handicap"),AND(A157&gt;25,X157="1st half Handicap")),OR(AND(AK157&gt;20,U157&lt;T157,E157&gt;45),AND(AK157&lt;-20,U157&gt;T157,E157&lt;55))),AND(AND(A157-AL157&lt;200,A157-AL157&gt;9),OR(AND(A157&gt;75,X157="Final Handicap"),AND(A157&gt;25,X157="1st half Handicap")),OR(AND(AX157&gt;20,U157&lt;T157,E157&gt;45),AND(AX157&lt;-20,U157&gt;T157,E157&lt;55))),AND(AND(A157-AY157&lt;200,A157-AY157&gt;9),OR(AND(A157&gt;75,X157="Final Handicap"),AND(A157&gt;25,X157="1st half Handicap")),OR(AND(BK157&gt;20,U157&lt;T157,E157&gt;45),AND(BK157&lt;-20,U157&gt;T157,E157&lt;55)))),"GOOD","")</f>
        <v/>
      </c>
      <c r="BS157" s="21"/>
    </row>
    <row r="158" spans="1:71" ht="17.25" x14ac:dyDescent="0.3">
      <c r="A158" s="3"/>
      <c r="D158" s="8" t="str">
        <f>IF(ISBLANK(T158),"",CONCATENATE(T158,"-",U158))</f>
        <v/>
      </c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>
        <f>IF(NOT(ISBLANK(G158)),ABS(G158),0)</f>
        <v>0</v>
      </c>
      <c r="BM158">
        <f>IF(NOT(ISBLANK(AK158)),ABS(AK158),0)</f>
        <v>0</v>
      </c>
      <c r="BN158">
        <f>IF(NOT(ISBLANK(AX158)),ABS(AX158),0)</f>
        <v>0</v>
      </c>
      <c r="BO158">
        <f>IF(NOT(ISBLANK(BK158)),ABS(BK158),0)</f>
        <v>0</v>
      </c>
      <c r="BP158">
        <f>IF(ISBLANK(E158),0,ABS(E158-50))</f>
        <v>0</v>
      </c>
      <c r="BQ158" s="21" t="str">
        <f>IF(OR(ISBLANK(V158),ISBLANK(W158)),"",IF(SUM(V158,W158)=0,"",CONCATENATE(V158,"-",W158)))</f>
        <v/>
      </c>
      <c r="BR158" s="21" t="str">
        <f>IF(OR(AND(OR(AND(A158&gt;75,X158="Final Handicap"),AND(A158&gt;25,X158="1st half Handicap")),OR(AND(G158&gt;20,U158&lt;T158,E158&gt;45),AND(G158&lt;-20,U158&gt;T158,E158&lt;55))),AND(AND(A158-Y158&lt;200,A158-Y158&gt;9),OR(AND(A158&gt;75,X158="Final Handicap"),AND(A158&gt;25,X158="1st half Handicap")),OR(AND(AK158&gt;20,U158&lt;T158,E158&gt;45),AND(AK158&lt;-20,U158&gt;T158,E158&lt;55))),AND(AND(A158-AL158&lt;200,A158-AL158&gt;9),OR(AND(A158&gt;75,X158="Final Handicap"),AND(A158&gt;25,X158="1st half Handicap")),OR(AND(AX158&gt;20,U158&lt;T158,E158&gt;45),AND(AX158&lt;-20,U158&gt;T158,E158&lt;55))),AND(AND(A158-AY158&lt;200,A158-AY158&gt;9),OR(AND(A158&gt;75,X158="Final Handicap"),AND(A158&gt;25,X158="1st half Handicap")),OR(AND(BK158&gt;20,U158&lt;T158,E158&gt;45),AND(BK158&lt;-20,U158&gt;T158,E158&lt;55)))),"GOOD","")</f>
        <v/>
      </c>
      <c r="BS158" s="21"/>
    </row>
    <row r="159" spans="1:71" ht="17.25" x14ac:dyDescent="0.3">
      <c r="A159" s="3"/>
      <c r="D159" s="8" t="str">
        <f>IF(ISBLANK(T159),"",CONCATENATE(T159,"-",U159))</f>
        <v/>
      </c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>
        <f>IF(NOT(ISBLANK(G159)),ABS(G159),0)</f>
        <v>0</v>
      </c>
      <c r="BM159">
        <f>IF(NOT(ISBLANK(AK159)),ABS(AK159),0)</f>
        <v>0</v>
      </c>
      <c r="BN159">
        <f>IF(NOT(ISBLANK(AX159)),ABS(AX159),0)</f>
        <v>0</v>
      </c>
      <c r="BO159">
        <f>IF(NOT(ISBLANK(BK159)),ABS(BK159),0)</f>
        <v>0</v>
      </c>
      <c r="BP159">
        <f>IF(ISBLANK(E159),0,ABS(E159-50))</f>
        <v>0</v>
      </c>
      <c r="BQ159" s="21" t="str">
        <f>IF(OR(ISBLANK(V159),ISBLANK(W159)),"",IF(SUM(V159,W159)=0,"",CONCATENATE(V159,"-",W159)))</f>
        <v/>
      </c>
      <c r="BR159" s="21" t="str">
        <f>IF(OR(AND(OR(AND(A159&gt;75,X159="Final Handicap"),AND(A159&gt;25,X159="1st half Handicap")),OR(AND(G159&gt;20,U159&lt;T159,E159&gt;45),AND(G159&lt;-20,U159&gt;T159,E159&lt;55))),AND(AND(A159-Y159&lt;200,A159-Y159&gt;9),OR(AND(A159&gt;75,X159="Final Handicap"),AND(A159&gt;25,X159="1st half Handicap")),OR(AND(AK159&gt;20,U159&lt;T159,E159&gt;45),AND(AK159&lt;-20,U159&gt;T159,E159&lt;55))),AND(AND(A159-AL159&lt;200,A159-AL159&gt;9),OR(AND(A159&gt;75,X159="Final Handicap"),AND(A159&gt;25,X159="1st half Handicap")),OR(AND(AX159&gt;20,U159&lt;T159,E159&gt;45),AND(AX159&lt;-20,U159&gt;T159,E159&lt;55))),AND(AND(A159-AY159&lt;200,A159-AY159&gt;9),OR(AND(A159&gt;75,X159="Final Handicap"),AND(A159&gt;25,X159="1st half Handicap")),OR(AND(BK159&gt;20,U159&lt;T159,E159&gt;45),AND(BK159&lt;-20,U159&gt;T159,E159&lt;55)))),"GOOD","")</f>
        <v/>
      </c>
      <c r="BS159" s="21"/>
    </row>
    <row r="160" spans="1:71" ht="17.25" x14ac:dyDescent="0.3">
      <c r="A160" s="3"/>
      <c r="D160" s="8" t="str">
        <f>IF(ISBLANK(T160),"",CONCATENATE(T160,"-",U160))</f>
        <v/>
      </c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>
        <f>IF(NOT(ISBLANK(G160)),ABS(G160),0)</f>
        <v>0</v>
      </c>
      <c r="BM160">
        <f>IF(NOT(ISBLANK(AK160)),ABS(AK160),0)</f>
        <v>0</v>
      </c>
      <c r="BN160">
        <f>IF(NOT(ISBLANK(AX160)),ABS(AX160),0)</f>
        <v>0</v>
      </c>
      <c r="BO160">
        <f>IF(NOT(ISBLANK(BK160)),ABS(BK160),0)</f>
        <v>0</v>
      </c>
      <c r="BP160">
        <f>IF(ISBLANK(E160),0,ABS(E160-50))</f>
        <v>0</v>
      </c>
      <c r="BQ160" s="21" t="str">
        <f>IF(OR(ISBLANK(V160),ISBLANK(W160)),"",IF(SUM(V160,W160)=0,"",CONCATENATE(V160,"-",W160)))</f>
        <v/>
      </c>
      <c r="BR160" s="21" t="str">
        <f>IF(OR(AND(OR(AND(A160&gt;75,X160="Final Handicap"),AND(A160&gt;25,X160="1st half Handicap")),OR(AND(G160&gt;20,U160&lt;T160,E160&gt;45),AND(G160&lt;-20,U160&gt;T160,E160&lt;55))),AND(AND(A160-Y160&lt;200,A160-Y160&gt;9),OR(AND(A160&gt;75,X160="Final Handicap"),AND(A160&gt;25,X160="1st half Handicap")),OR(AND(AK160&gt;20,U160&lt;T160,E160&gt;45),AND(AK160&lt;-20,U160&gt;T160,E160&lt;55))),AND(AND(A160-AL160&lt;200,A160-AL160&gt;9),OR(AND(A160&gt;75,X160="Final Handicap"),AND(A160&gt;25,X160="1st half Handicap")),OR(AND(AX160&gt;20,U160&lt;T160,E160&gt;45),AND(AX160&lt;-20,U160&gt;T160,E160&lt;55))),AND(AND(A160-AY160&lt;200,A160-AY160&gt;9),OR(AND(A160&gt;75,X160="Final Handicap"),AND(A160&gt;25,X160="1st half Handicap")),OR(AND(BK160&gt;20,U160&lt;T160,E160&gt;45),AND(BK160&lt;-20,U160&gt;T160,E160&lt;55)))),"GOOD","")</f>
        <v/>
      </c>
      <c r="BS160" s="21"/>
    </row>
    <row r="161" spans="1:71" ht="17.25" x14ac:dyDescent="0.3">
      <c r="A161" s="3"/>
      <c r="D161" s="8" t="str">
        <f>IF(ISBLANK(T161),"",CONCATENATE(T161,"-",U161))</f>
        <v/>
      </c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>
        <f>IF(NOT(ISBLANK(G161)),ABS(G161),0)</f>
        <v>0</v>
      </c>
      <c r="BM161">
        <f>IF(NOT(ISBLANK(AK161)),ABS(AK161),0)</f>
        <v>0</v>
      </c>
      <c r="BN161">
        <f>IF(NOT(ISBLANK(AX161)),ABS(AX161),0)</f>
        <v>0</v>
      </c>
      <c r="BO161">
        <f>IF(NOT(ISBLANK(BK161)),ABS(BK161),0)</f>
        <v>0</v>
      </c>
      <c r="BP161">
        <f>IF(ISBLANK(E161),0,ABS(E161-50))</f>
        <v>0</v>
      </c>
      <c r="BQ161" s="21" t="str">
        <f>IF(OR(ISBLANK(V161),ISBLANK(W161)),"",IF(SUM(V161,W161)=0,"",CONCATENATE(V161,"-",W161)))</f>
        <v/>
      </c>
      <c r="BR161" s="21" t="str">
        <f>IF(OR(AND(OR(AND(A161&gt;75,X161="Final Handicap"),AND(A161&gt;25,X161="1st half Handicap")),OR(AND(G161&gt;20,U161&lt;T161,E161&gt;45),AND(G161&lt;-20,U161&gt;T161,E161&lt;55))),AND(AND(A161-Y161&lt;200,A161-Y161&gt;9),OR(AND(A161&gt;75,X161="Final Handicap"),AND(A161&gt;25,X161="1st half Handicap")),OR(AND(AK161&gt;20,U161&lt;T161,E161&gt;45),AND(AK161&lt;-20,U161&gt;T161,E161&lt;55))),AND(AND(A161-AL161&lt;200,A161-AL161&gt;9),OR(AND(A161&gt;75,X161="Final Handicap"),AND(A161&gt;25,X161="1st half Handicap")),OR(AND(AX161&gt;20,U161&lt;T161,E161&gt;45),AND(AX161&lt;-20,U161&gt;T161,E161&lt;55))),AND(AND(A161-AY161&lt;200,A161-AY161&gt;9),OR(AND(A161&gt;75,X161="Final Handicap"),AND(A161&gt;25,X161="1st half Handicap")),OR(AND(BK161&gt;20,U161&lt;T161,E161&gt;45),AND(BK161&lt;-20,U161&gt;T161,E161&lt;55)))),"GOOD","")</f>
        <v/>
      </c>
      <c r="BS161" s="21"/>
    </row>
    <row r="162" spans="1:71" ht="17.25" x14ac:dyDescent="0.3">
      <c r="A162" s="3"/>
      <c r="D162" s="8" t="str">
        <f>IF(ISBLANK(T162),"",CONCATENATE(T162,"-",U162))</f>
        <v/>
      </c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>
        <f>IF(NOT(ISBLANK(G162)),ABS(G162),0)</f>
        <v>0</v>
      </c>
      <c r="BM162">
        <f>IF(NOT(ISBLANK(AK162)),ABS(AK162),0)</f>
        <v>0</v>
      </c>
      <c r="BN162">
        <f>IF(NOT(ISBLANK(AX162)),ABS(AX162),0)</f>
        <v>0</v>
      </c>
      <c r="BO162">
        <f>IF(NOT(ISBLANK(BK162)),ABS(BK162),0)</f>
        <v>0</v>
      </c>
      <c r="BP162">
        <f>IF(ISBLANK(E162),0,ABS(E162-50))</f>
        <v>0</v>
      </c>
      <c r="BQ162" s="21" t="str">
        <f>IF(OR(ISBLANK(V162),ISBLANK(W162)),"",IF(SUM(V162,W162)=0,"",CONCATENATE(V162,"-",W162)))</f>
        <v/>
      </c>
      <c r="BR162" s="21" t="str">
        <f>IF(OR(AND(OR(AND(A162&gt;75,X162="Final Handicap"),AND(A162&gt;25,X162="1st half Handicap")),OR(AND(G162&gt;20,U162&lt;T162,E162&gt;45),AND(G162&lt;-20,U162&gt;T162,E162&lt;55))),AND(AND(A162-Y162&lt;200,A162-Y162&gt;9),OR(AND(A162&gt;75,X162="Final Handicap"),AND(A162&gt;25,X162="1st half Handicap")),OR(AND(AK162&gt;20,U162&lt;T162,E162&gt;45),AND(AK162&lt;-20,U162&gt;T162,E162&lt;55))),AND(AND(A162-AL162&lt;200,A162-AL162&gt;9),OR(AND(A162&gt;75,X162="Final Handicap"),AND(A162&gt;25,X162="1st half Handicap")),OR(AND(AX162&gt;20,U162&lt;T162,E162&gt;45),AND(AX162&lt;-20,U162&gt;T162,E162&lt;55))),AND(AND(A162-AY162&lt;200,A162-AY162&gt;9),OR(AND(A162&gt;75,X162="Final Handicap"),AND(A162&gt;25,X162="1st half Handicap")),OR(AND(BK162&gt;20,U162&lt;T162,E162&gt;45),AND(BK162&lt;-20,U162&gt;T162,E162&lt;55)))),"GOOD","")</f>
        <v/>
      </c>
      <c r="BS162" s="21"/>
    </row>
    <row r="163" spans="1:71" ht="17.25" x14ac:dyDescent="0.3">
      <c r="A163" s="3"/>
      <c r="D163" s="8" t="str">
        <f>IF(ISBLANK(T163),"",CONCATENATE(T163,"-",U163))</f>
        <v/>
      </c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>
        <f>IF(NOT(ISBLANK(G163)),ABS(G163),0)</f>
        <v>0</v>
      </c>
      <c r="BM163">
        <f>IF(NOT(ISBLANK(AK163)),ABS(AK163),0)</f>
        <v>0</v>
      </c>
      <c r="BN163">
        <f>IF(NOT(ISBLANK(AX163)),ABS(AX163),0)</f>
        <v>0</v>
      </c>
      <c r="BO163">
        <f>IF(NOT(ISBLANK(BK163)),ABS(BK163),0)</f>
        <v>0</v>
      </c>
      <c r="BP163">
        <f>IF(ISBLANK(E163),0,ABS(E163-50))</f>
        <v>0</v>
      </c>
      <c r="BQ163" s="21" t="str">
        <f>IF(OR(ISBLANK(V163),ISBLANK(W163)),"",IF(SUM(V163,W163)=0,"",CONCATENATE(V163,"-",W163)))</f>
        <v/>
      </c>
      <c r="BR163" s="21" t="str">
        <f>IF(OR(AND(OR(AND(A163&gt;75,X163="Final Handicap"),AND(A163&gt;25,X163="1st half Handicap")),OR(AND(G163&gt;20,U163&lt;T163,E163&gt;45),AND(G163&lt;-20,U163&gt;T163,E163&lt;55))),AND(AND(A163-Y163&lt;200,A163-Y163&gt;9),OR(AND(A163&gt;75,X163="Final Handicap"),AND(A163&gt;25,X163="1st half Handicap")),OR(AND(AK163&gt;20,U163&lt;T163,E163&gt;45),AND(AK163&lt;-20,U163&gt;T163,E163&lt;55))),AND(AND(A163-AL163&lt;200,A163-AL163&gt;9),OR(AND(A163&gt;75,X163="Final Handicap"),AND(A163&gt;25,X163="1st half Handicap")),OR(AND(AX163&gt;20,U163&lt;T163,E163&gt;45),AND(AX163&lt;-20,U163&gt;T163,E163&lt;55))),AND(AND(A163-AY163&lt;200,A163-AY163&gt;9),OR(AND(A163&gt;75,X163="Final Handicap"),AND(A163&gt;25,X163="1st half Handicap")),OR(AND(BK163&gt;20,U163&lt;T163,E163&gt;45),AND(BK163&lt;-20,U163&gt;T163,E163&lt;55)))),"GOOD","")</f>
        <v/>
      </c>
      <c r="BS163" s="21"/>
    </row>
    <row r="164" spans="1:71" ht="17.25" x14ac:dyDescent="0.3">
      <c r="A164" s="3"/>
      <c r="D164" s="8" t="str">
        <f>IF(ISBLANK(T164),"",CONCATENATE(T164,"-",U164))</f>
        <v/>
      </c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>
        <f>IF(NOT(ISBLANK(G164)),ABS(G164),0)</f>
        <v>0</v>
      </c>
      <c r="BM164">
        <f>IF(NOT(ISBLANK(AK164)),ABS(AK164),0)</f>
        <v>0</v>
      </c>
      <c r="BN164">
        <f>IF(NOT(ISBLANK(AX164)),ABS(AX164),0)</f>
        <v>0</v>
      </c>
      <c r="BO164">
        <f>IF(NOT(ISBLANK(BK164)),ABS(BK164),0)</f>
        <v>0</v>
      </c>
      <c r="BP164">
        <f>IF(ISBLANK(E164),0,ABS(E164-50))</f>
        <v>0</v>
      </c>
      <c r="BQ164" s="21" t="str">
        <f>IF(OR(ISBLANK(V164),ISBLANK(W164)),"",IF(SUM(V164,W164)=0,"",CONCATENATE(V164,"-",W164)))</f>
        <v/>
      </c>
      <c r="BR164" s="21" t="str">
        <f>IF(OR(AND(OR(AND(A164&gt;75,X164="Final Handicap"),AND(A164&gt;25,X164="1st half Handicap")),OR(AND(G164&gt;20,U164&lt;T164,E164&gt;45),AND(G164&lt;-20,U164&gt;T164,E164&lt;55))),AND(AND(A164-Y164&lt;200,A164-Y164&gt;9),OR(AND(A164&gt;75,X164="Final Handicap"),AND(A164&gt;25,X164="1st half Handicap")),OR(AND(AK164&gt;20,U164&lt;T164,E164&gt;45),AND(AK164&lt;-20,U164&gt;T164,E164&lt;55))),AND(AND(A164-AL164&lt;200,A164-AL164&gt;9),OR(AND(A164&gt;75,X164="Final Handicap"),AND(A164&gt;25,X164="1st half Handicap")),OR(AND(AX164&gt;20,U164&lt;T164,E164&gt;45),AND(AX164&lt;-20,U164&gt;T164,E164&lt;55))),AND(AND(A164-AY164&lt;200,A164-AY164&gt;9),OR(AND(A164&gt;75,X164="Final Handicap"),AND(A164&gt;25,X164="1st half Handicap")),OR(AND(BK164&gt;20,U164&lt;T164,E164&gt;45),AND(BK164&lt;-20,U164&gt;T164,E164&lt;55)))),"GOOD","")</f>
        <v/>
      </c>
      <c r="BS164" s="21"/>
    </row>
    <row r="165" spans="1:71" ht="17.25" x14ac:dyDescent="0.3">
      <c r="A165" s="3"/>
      <c r="D165" s="8" t="str">
        <f>IF(ISBLANK(T165),"",CONCATENATE(T165,"-",U165))</f>
        <v/>
      </c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>
        <f>IF(NOT(ISBLANK(G165)),ABS(G165),0)</f>
        <v>0</v>
      </c>
      <c r="BM165">
        <f>IF(NOT(ISBLANK(AK165)),ABS(AK165),0)</f>
        <v>0</v>
      </c>
      <c r="BN165">
        <f>IF(NOT(ISBLANK(AX165)),ABS(AX165),0)</f>
        <v>0</v>
      </c>
      <c r="BO165">
        <f>IF(NOT(ISBLANK(BK165)),ABS(BK165),0)</f>
        <v>0</v>
      </c>
      <c r="BP165">
        <f>IF(ISBLANK(E165),0,ABS(E165-50))</f>
        <v>0</v>
      </c>
      <c r="BQ165" s="21" t="str">
        <f>IF(OR(ISBLANK(V165),ISBLANK(W165)),"",IF(SUM(V165,W165)=0,"",CONCATENATE(V165,"-",W165)))</f>
        <v/>
      </c>
      <c r="BR165" s="21" t="str">
        <f>IF(OR(AND(OR(AND(A165&gt;75,X165="Final Handicap"),AND(A165&gt;25,X165="1st half Handicap")),OR(AND(G165&gt;20,U165&lt;T165,E165&gt;45),AND(G165&lt;-20,U165&gt;T165,E165&lt;55))),AND(AND(A165-Y165&lt;200,A165-Y165&gt;9),OR(AND(A165&gt;75,X165="Final Handicap"),AND(A165&gt;25,X165="1st half Handicap")),OR(AND(AK165&gt;20,U165&lt;T165,E165&gt;45),AND(AK165&lt;-20,U165&gt;T165,E165&lt;55))),AND(AND(A165-AL165&lt;200,A165-AL165&gt;9),OR(AND(A165&gt;75,X165="Final Handicap"),AND(A165&gt;25,X165="1st half Handicap")),OR(AND(AX165&gt;20,U165&lt;T165,E165&gt;45),AND(AX165&lt;-20,U165&gt;T165,E165&lt;55))),AND(AND(A165-AY165&lt;200,A165-AY165&gt;9),OR(AND(A165&gt;75,X165="Final Handicap"),AND(A165&gt;25,X165="1st half Handicap")),OR(AND(BK165&gt;20,U165&lt;T165,E165&gt;45),AND(BK165&lt;-20,U165&gt;T165,E165&lt;55)))),"GOOD","")</f>
        <v/>
      </c>
      <c r="BS165" s="21"/>
    </row>
    <row r="166" spans="1:71" ht="17.25" x14ac:dyDescent="0.3">
      <c r="A166" s="3"/>
      <c r="D166" s="8" t="str">
        <f>IF(ISBLANK(T166),"",CONCATENATE(T166,"-",U166))</f>
        <v/>
      </c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>
        <f>IF(NOT(ISBLANK(G166)),ABS(G166),0)</f>
        <v>0</v>
      </c>
      <c r="BM166">
        <f>IF(NOT(ISBLANK(AK166)),ABS(AK166),0)</f>
        <v>0</v>
      </c>
      <c r="BN166">
        <f>IF(NOT(ISBLANK(AX166)),ABS(AX166),0)</f>
        <v>0</v>
      </c>
      <c r="BO166">
        <f>IF(NOT(ISBLANK(BK166)),ABS(BK166),0)</f>
        <v>0</v>
      </c>
      <c r="BP166">
        <f>IF(ISBLANK(E166),0,ABS(E166-50))</f>
        <v>0</v>
      </c>
      <c r="BQ166" s="21" t="str">
        <f>IF(OR(ISBLANK(V166),ISBLANK(W166)),"",IF(SUM(V166,W166)=0,"",CONCATENATE(V166,"-",W166)))</f>
        <v/>
      </c>
      <c r="BR166" s="21" t="str">
        <f>IF(OR(AND(OR(AND(A166&gt;75,X166="Final Handicap"),AND(A166&gt;25,X166="1st half Handicap")),OR(AND(G166&gt;20,U166&lt;T166,E166&gt;45),AND(G166&lt;-20,U166&gt;T166,E166&lt;55))),AND(AND(A166-Y166&lt;200,A166-Y166&gt;9),OR(AND(A166&gt;75,X166="Final Handicap"),AND(A166&gt;25,X166="1st half Handicap")),OR(AND(AK166&gt;20,U166&lt;T166,E166&gt;45),AND(AK166&lt;-20,U166&gt;T166,E166&lt;55))),AND(AND(A166-AL166&lt;200,A166-AL166&gt;9),OR(AND(A166&gt;75,X166="Final Handicap"),AND(A166&gt;25,X166="1st half Handicap")),OR(AND(AX166&gt;20,U166&lt;T166,E166&gt;45),AND(AX166&lt;-20,U166&gt;T166,E166&lt;55))),AND(AND(A166-AY166&lt;200,A166-AY166&gt;9),OR(AND(A166&gt;75,X166="Final Handicap"),AND(A166&gt;25,X166="1st half Handicap")),OR(AND(BK166&gt;20,U166&lt;T166,E166&gt;45),AND(BK166&lt;-20,U166&gt;T166,E166&lt;55)))),"GOOD","")</f>
        <v/>
      </c>
      <c r="BS166" s="21"/>
    </row>
    <row r="167" spans="1:71" ht="17.25" x14ac:dyDescent="0.3">
      <c r="A167" s="3"/>
      <c r="D167" s="8" t="str">
        <f>IF(ISBLANK(T167),"",CONCATENATE(T167,"-",U167))</f>
        <v/>
      </c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>
        <f>IF(NOT(ISBLANK(G167)),ABS(G167),0)</f>
        <v>0</v>
      </c>
      <c r="BM167">
        <f>IF(NOT(ISBLANK(AK167)),ABS(AK167),0)</f>
        <v>0</v>
      </c>
      <c r="BN167">
        <f>IF(NOT(ISBLANK(AX167)),ABS(AX167),0)</f>
        <v>0</v>
      </c>
      <c r="BO167">
        <f>IF(NOT(ISBLANK(BK167)),ABS(BK167),0)</f>
        <v>0</v>
      </c>
      <c r="BP167">
        <f>IF(ISBLANK(E167),0,ABS(E167-50))</f>
        <v>0</v>
      </c>
      <c r="BQ167" s="21" t="str">
        <f>IF(OR(ISBLANK(V167),ISBLANK(W167)),"",IF(SUM(V167,W167)=0,"",CONCATENATE(V167,"-",W167)))</f>
        <v/>
      </c>
      <c r="BR167" s="21" t="str">
        <f>IF(OR(AND(OR(AND(A167&gt;75,X167="Final Handicap"),AND(A167&gt;25,X167="1st half Handicap")),OR(AND(G167&gt;20,U167&lt;T167,E167&gt;45),AND(G167&lt;-20,U167&gt;T167,E167&lt;55))),AND(AND(A167-Y167&lt;200,A167-Y167&gt;9),OR(AND(A167&gt;75,X167="Final Handicap"),AND(A167&gt;25,X167="1st half Handicap")),OR(AND(AK167&gt;20,U167&lt;T167,E167&gt;45),AND(AK167&lt;-20,U167&gt;T167,E167&lt;55))),AND(AND(A167-AL167&lt;200,A167-AL167&gt;9),OR(AND(A167&gt;75,X167="Final Handicap"),AND(A167&gt;25,X167="1st half Handicap")),OR(AND(AX167&gt;20,U167&lt;T167,E167&gt;45),AND(AX167&lt;-20,U167&gt;T167,E167&lt;55))),AND(AND(A167-AY167&lt;200,A167-AY167&gt;9),OR(AND(A167&gt;75,X167="Final Handicap"),AND(A167&gt;25,X167="1st half Handicap")),OR(AND(BK167&gt;20,U167&lt;T167,E167&gt;45),AND(BK167&lt;-20,U167&gt;T167,E167&lt;55)))),"GOOD","")</f>
        <v/>
      </c>
      <c r="BS167" s="21"/>
    </row>
    <row r="168" spans="1:71" ht="17.25" x14ac:dyDescent="0.3">
      <c r="A168" s="3"/>
      <c r="D168" s="8" t="str">
        <f>IF(ISBLANK(T168),"",CONCATENATE(T168,"-",U168))</f>
        <v/>
      </c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>
        <f>IF(NOT(ISBLANK(G168)),ABS(G168),0)</f>
        <v>0</v>
      </c>
      <c r="BM168">
        <f>IF(NOT(ISBLANK(AK168)),ABS(AK168),0)</f>
        <v>0</v>
      </c>
      <c r="BN168">
        <f>IF(NOT(ISBLANK(AX168)),ABS(AX168),0)</f>
        <v>0</v>
      </c>
      <c r="BO168">
        <f>IF(NOT(ISBLANK(BK168)),ABS(BK168),0)</f>
        <v>0</v>
      </c>
      <c r="BP168">
        <f>IF(ISBLANK(E168),0,ABS(E168-50))</f>
        <v>0</v>
      </c>
      <c r="BQ168" s="21" t="str">
        <f>IF(OR(ISBLANK(V168),ISBLANK(W168)),"",IF(SUM(V168,W168)=0,"",CONCATENATE(V168,"-",W168)))</f>
        <v/>
      </c>
      <c r="BR168" s="21" t="str">
        <f>IF(OR(AND(OR(AND(A168&gt;75,X168="Final Handicap"),AND(A168&gt;25,X168="1st half Handicap")),OR(AND(G168&gt;20,U168&lt;T168,E168&gt;45),AND(G168&lt;-20,U168&gt;T168,E168&lt;55))),AND(AND(A168-Y168&lt;200,A168-Y168&gt;9),OR(AND(A168&gt;75,X168="Final Handicap"),AND(A168&gt;25,X168="1st half Handicap")),OR(AND(AK168&gt;20,U168&lt;T168,E168&gt;45),AND(AK168&lt;-20,U168&gt;T168,E168&lt;55))),AND(AND(A168-AL168&lt;200,A168-AL168&gt;9),OR(AND(A168&gt;75,X168="Final Handicap"),AND(A168&gt;25,X168="1st half Handicap")),OR(AND(AX168&gt;20,U168&lt;T168,E168&gt;45),AND(AX168&lt;-20,U168&gt;T168,E168&lt;55))),AND(AND(A168-AY168&lt;200,A168-AY168&gt;9),OR(AND(A168&gt;75,X168="Final Handicap"),AND(A168&gt;25,X168="1st half Handicap")),OR(AND(BK168&gt;20,U168&lt;T168,E168&gt;45),AND(BK168&lt;-20,U168&gt;T168,E168&lt;55)))),"GOOD","")</f>
        <v/>
      </c>
      <c r="BS168" s="21"/>
    </row>
    <row r="169" spans="1:71" ht="17.25" x14ac:dyDescent="0.3">
      <c r="A169" s="3"/>
      <c r="D169" s="8" t="str">
        <f>IF(ISBLANK(T169),"",CONCATENATE(T169,"-",U169))</f>
        <v/>
      </c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>
        <f>IF(NOT(ISBLANK(G169)),ABS(G169),0)</f>
        <v>0</v>
      </c>
      <c r="BM169">
        <f>IF(NOT(ISBLANK(AK169)),ABS(AK169),0)</f>
        <v>0</v>
      </c>
      <c r="BN169">
        <f>IF(NOT(ISBLANK(AX169)),ABS(AX169),0)</f>
        <v>0</v>
      </c>
      <c r="BO169">
        <f>IF(NOT(ISBLANK(BK169)),ABS(BK169),0)</f>
        <v>0</v>
      </c>
      <c r="BP169">
        <f>IF(ISBLANK(E169),0,ABS(E169-50))</f>
        <v>0</v>
      </c>
      <c r="BQ169" s="21" t="str">
        <f>IF(OR(ISBLANK(V169),ISBLANK(W169)),"",IF(SUM(V169,W169)=0,"",CONCATENATE(V169,"-",W169)))</f>
        <v/>
      </c>
      <c r="BR169" s="21" t="str">
        <f>IF(OR(AND(OR(AND(A169&gt;75,X169="Final Handicap"),AND(A169&gt;25,X169="1st half Handicap")),OR(AND(G169&gt;20,U169&lt;T169,E169&gt;45),AND(G169&lt;-20,U169&gt;T169,E169&lt;55))),AND(AND(A169-Y169&lt;200,A169-Y169&gt;9),OR(AND(A169&gt;75,X169="Final Handicap"),AND(A169&gt;25,X169="1st half Handicap")),OR(AND(AK169&gt;20,U169&lt;T169,E169&gt;45),AND(AK169&lt;-20,U169&gt;T169,E169&lt;55))),AND(AND(A169-AL169&lt;200,A169-AL169&gt;9),OR(AND(A169&gt;75,X169="Final Handicap"),AND(A169&gt;25,X169="1st half Handicap")),OR(AND(AX169&gt;20,U169&lt;T169,E169&gt;45),AND(AX169&lt;-20,U169&gt;T169,E169&lt;55))),AND(AND(A169-AY169&lt;200,A169-AY169&gt;9),OR(AND(A169&gt;75,X169="Final Handicap"),AND(A169&gt;25,X169="1st half Handicap")),OR(AND(BK169&gt;20,U169&lt;T169,E169&gt;45),AND(BK169&lt;-20,U169&gt;T169,E169&lt;55)))),"GOOD","")</f>
        <v/>
      </c>
      <c r="BS169" s="21"/>
    </row>
    <row r="170" spans="1:71" ht="17.25" x14ac:dyDescent="0.3">
      <c r="A170" s="3"/>
      <c r="D170" s="8" t="str">
        <f>IF(ISBLANK(T170),"",CONCATENATE(T170,"-",U170))</f>
        <v/>
      </c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>
        <f>IF(NOT(ISBLANK(G170)),ABS(G170),0)</f>
        <v>0</v>
      </c>
      <c r="BM170">
        <f>IF(NOT(ISBLANK(AK170)),ABS(AK170),0)</f>
        <v>0</v>
      </c>
      <c r="BN170">
        <f>IF(NOT(ISBLANK(AX170)),ABS(AX170),0)</f>
        <v>0</v>
      </c>
      <c r="BO170">
        <f>IF(NOT(ISBLANK(BK170)),ABS(BK170),0)</f>
        <v>0</v>
      </c>
      <c r="BP170">
        <f>IF(ISBLANK(E170),0,ABS(E170-50))</f>
        <v>0</v>
      </c>
      <c r="BQ170" s="21" t="str">
        <f>IF(OR(ISBLANK(V170),ISBLANK(W170)),"",IF(SUM(V170,W170)=0,"",CONCATENATE(V170,"-",W170)))</f>
        <v/>
      </c>
      <c r="BR170" s="21" t="str">
        <f>IF(OR(AND(OR(AND(A170&gt;75,X170="Final Handicap"),AND(A170&gt;25,X170="1st half Handicap")),OR(AND(G170&gt;20,U170&lt;T170,E170&gt;45),AND(G170&lt;-20,U170&gt;T170,E170&lt;55))),AND(AND(A170-Y170&lt;200,A170-Y170&gt;9),OR(AND(A170&gt;75,X170="Final Handicap"),AND(A170&gt;25,X170="1st half Handicap")),OR(AND(AK170&gt;20,U170&lt;T170,E170&gt;45),AND(AK170&lt;-20,U170&gt;T170,E170&lt;55))),AND(AND(A170-AL170&lt;200,A170-AL170&gt;9),OR(AND(A170&gt;75,X170="Final Handicap"),AND(A170&gt;25,X170="1st half Handicap")),OR(AND(AX170&gt;20,U170&lt;T170,E170&gt;45),AND(AX170&lt;-20,U170&gt;T170,E170&lt;55))),AND(AND(A170-AY170&lt;200,A170-AY170&gt;9),OR(AND(A170&gt;75,X170="Final Handicap"),AND(A170&gt;25,X170="1st half Handicap")),OR(AND(BK170&gt;20,U170&lt;T170,E170&gt;45),AND(BK170&lt;-20,U170&gt;T170,E170&lt;55)))),"GOOD","")</f>
        <v/>
      </c>
      <c r="BS170" s="21"/>
    </row>
    <row r="171" spans="1:71" ht="17.25" x14ac:dyDescent="0.3">
      <c r="A171" s="3"/>
      <c r="D171" s="8" t="str">
        <f>IF(ISBLANK(T171),"",CONCATENATE(T171,"-",U171))</f>
        <v/>
      </c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>
        <f>IF(NOT(ISBLANK(G171)),ABS(G171),0)</f>
        <v>0</v>
      </c>
      <c r="BM171">
        <f>IF(NOT(ISBLANK(AK171)),ABS(AK171),0)</f>
        <v>0</v>
      </c>
      <c r="BN171">
        <f>IF(NOT(ISBLANK(AX171)),ABS(AX171),0)</f>
        <v>0</v>
      </c>
      <c r="BO171">
        <f>IF(NOT(ISBLANK(BK171)),ABS(BK171),0)</f>
        <v>0</v>
      </c>
      <c r="BP171">
        <f>IF(ISBLANK(E171),0,ABS(E171-50))</f>
        <v>0</v>
      </c>
      <c r="BQ171" s="21" t="str">
        <f>IF(OR(ISBLANK(V171),ISBLANK(W171)),"",IF(SUM(V171,W171)=0,"",CONCATENATE(V171,"-",W171)))</f>
        <v/>
      </c>
      <c r="BR171" s="21" t="str">
        <f>IF(OR(AND(OR(AND(A171&gt;75,X171="Final Handicap"),AND(A171&gt;25,X171="1st half Handicap")),OR(AND(G171&gt;20,U171&lt;T171,E171&gt;45),AND(G171&lt;-20,U171&gt;T171,E171&lt;55))),AND(AND(A171-Y171&lt;200,A171-Y171&gt;9),OR(AND(A171&gt;75,X171="Final Handicap"),AND(A171&gt;25,X171="1st half Handicap")),OR(AND(AK171&gt;20,U171&lt;T171,E171&gt;45),AND(AK171&lt;-20,U171&gt;T171,E171&lt;55))),AND(AND(A171-AL171&lt;200,A171-AL171&gt;9),OR(AND(A171&gt;75,X171="Final Handicap"),AND(A171&gt;25,X171="1st half Handicap")),OR(AND(AX171&gt;20,U171&lt;T171,E171&gt;45),AND(AX171&lt;-20,U171&gt;T171,E171&lt;55))),AND(AND(A171-AY171&lt;200,A171-AY171&gt;9),OR(AND(A171&gt;75,X171="Final Handicap"),AND(A171&gt;25,X171="1st half Handicap")),OR(AND(BK171&gt;20,U171&lt;T171,E171&gt;45),AND(BK171&lt;-20,U171&gt;T171,E171&lt;55)))),"GOOD","")</f>
        <v/>
      </c>
      <c r="BS171" s="21"/>
    </row>
    <row r="172" spans="1:71" ht="17.25" x14ac:dyDescent="0.3">
      <c r="A172" s="3"/>
      <c r="D172" s="8" t="str">
        <f>IF(ISBLANK(T172),"",CONCATENATE(T172,"-",U172))</f>
        <v/>
      </c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>
        <f>IF(NOT(ISBLANK(G172)),ABS(G172),0)</f>
        <v>0</v>
      </c>
      <c r="BM172">
        <f>IF(NOT(ISBLANK(AK172)),ABS(AK172),0)</f>
        <v>0</v>
      </c>
      <c r="BN172">
        <f>IF(NOT(ISBLANK(AX172)),ABS(AX172),0)</f>
        <v>0</v>
      </c>
      <c r="BO172">
        <f>IF(NOT(ISBLANK(BK172)),ABS(BK172),0)</f>
        <v>0</v>
      </c>
      <c r="BP172">
        <f>IF(ISBLANK(E172),0,ABS(E172-50))</f>
        <v>0</v>
      </c>
      <c r="BQ172" s="21" t="str">
        <f>IF(OR(ISBLANK(V172),ISBLANK(W172)),"",IF(SUM(V172,W172)=0,"",CONCATENATE(V172,"-",W172)))</f>
        <v/>
      </c>
      <c r="BR172" s="21" t="str">
        <f>IF(OR(AND(OR(AND(A172&gt;75,X172="Final Handicap"),AND(A172&gt;25,X172="1st half Handicap")),OR(AND(G172&gt;20,U172&lt;T172,E172&gt;45),AND(G172&lt;-20,U172&gt;T172,E172&lt;55))),AND(AND(A172-Y172&lt;200,A172-Y172&gt;9),OR(AND(A172&gt;75,X172="Final Handicap"),AND(A172&gt;25,X172="1st half Handicap")),OR(AND(AK172&gt;20,U172&lt;T172,E172&gt;45),AND(AK172&lt;-20,U172&gt;T172,E172&lt;55))),AND(AND(A172-AL172&lt;200,A172-AL172&gt;9),OR(AND(A172&gt;75,X172="Final Handicap"),AND(A172&gt;25,X172="1st half Handicap")),OR(AND(AX172&gt;20,U172&lt;T172,E172&gt;45),AND(AX172&lt;-20,U172&gt;T172,E172&lt;55))),AND(AND(A172-AY172&lt;200,A172-AY172&gt;9),OR(AND(A172&gt;75,X172="Final Handicap"),AND(A172&gt;25,X172="1st half Handicap")),OR(AND(BK172&gt;20,U172&lt;T172,E172&gt;45),AND(BK172&lt;-20,U172&gt;T172,E172&lt;55)))),"GOOD","")</f>
        <v/>
      </c>
      <c r="BS172" s="21"/>
    </row>
    <row r="173" spans="1:71" ht="17.25" x14ac:dyDescent="0.3">
      <c r="A173" s="3"/>
      <c r="D173" s="8" t="str">
        <f>IF(ISBLANK(T173),"",CONCATENATE(T173,"-",U173))</f>
        <v/>
      </c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>
        <f>IF(NOT(ISBLANK(G173)),ABS(G173),0)</f>
        <v>0</v>
      </c>
      <c r="BM173">
        <f>IF(NOT(ISBLANK(AK173)),ABS(AK173),0)</f>
        <v>0</v>
      </c>
      <c r="BN173">
        <f>IF(NOT(ISBLANK(AX173)),ABS(AX173),0)</f>
        <v>0</v>
      </c>
      <c r="BO173">
        <f>IF(NOT(ISBLANK(BK173)),ABS(BK173),0)</f>
        <v>0</v>
      </c>
      <c r="BP173">
        <f>IF(ISBLANK(E173),0,ABS(E173-50))</f>
        <v>0</v>
      </c>
      <c r="BQ173" s="21" t="str">
        <f>IF(OR(ISBLANK(V173),ISBLANK(W173)),"",IF(SUM(V173,W173)=0,"",CONCATENATE(V173,"-",W173)))</f>
        <v/>
      </c>
      <c r="BR173" s="21" t="str">
        <f>IF(OR(AND(OR(AND(A173&gt;75,X173="Final Handicap"),AND(A173&gt;25,X173="1st half Handicap")),OR(AND(G173&gt;20,U173&lt;T173,E173&gt;45),AND(G173&lt;-20,U173&gt;T173,E173&lt;55))),AND(AND(A173-Y173&lt;200,A173-Y173&gt;9),OR(AND(A173&gt;75,X173="Final Handicap"),AND(A173&gt;25,X173="1st half Handicap")),OR(AND(AK173&gt;20,U173&lt;T173,E173&gt;45),AND(AK173&lt;-20,U173&gt;T173,E173&lt;55))),AND(AND(A173-AL173&lt;200,A173-AL173&gt;9),OR(AND(A173&gt;75,X173="Final Handicap"),AND(A173&gt;25,X173="1st half Handicap")),OR(AND(AX173&gt;20,U173&lt;T173,E173&gt;45),AND(AX173&lt;-20,U173&gt;T173,E173&lt;55))),AND(AND(A173-AY173&lt;200,A173-AY173&gt;9),OR(AND(A173&gt;75,X173="Final Handicap"),AND(A173&gt;25,X173="1st half Handicap")),OR(AND(BK173&gt;20,U173&lt;T173,E173&gt;45),AND(BK173&lt;-20,U173&gt;T173,E173&lt;55)))),"GOOD","")</f>
        <v/>
      </c>
      <c r="BS173" s="21"/>
    </row>
    <row r="174" spans="1:71" ht="17.25" x14ac:dyDescent="0.3">
      <c r="A174" s="3"/>
      <c r="D174" s="8" t="str">
        <f>IF(ISBLANK(T174),"",CONCATENATE(T174,"-",U174))</f>
        <v/>
      </c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>
        <f>IF(NOT(ISBLANK(G174)),ABS(G174),0)</f>
        <v>0</v>
      </c>
      <c r="BM174">
        <f>IF(NOT(ISBLANK(AK174)),ABS(AK174),0)</f>
        <v>0</v>
      </c>
      <c r="BN174">
        <f>IF(NOT(ISBLANK(AX174)),ABS(AX174),0)</f>
        <v>0</v>
      </c>
      <c r="BO174">
        <f>IF(NOT(ISBLANK(BK174)),ABS(BK174),0)</f>
        <v>0</v>
      </c>
      <c r="BP174">
        <f>IF(ISBLANK(E174),0,ABS(E174-50))</f>
        <v>0</v>
      </c>
      <c r="BQ174" s="21" t="str">
        <f>IF(OR(ISBLANK(V174),ISBLANK(W174)),"",IF(SUM(V174,W174)=0,"",CONCATENATE(V174,"-",W174)))</f>
        <v/>
      </c>
      <c r="BR174" s="21" t="str">
        <f>IF(OR(AND(OR(AND(A174&gt;75,X174="Final Handicap"),AND(A174&gt;25,X174="1st half Handicap")),OR(AND(G174&gt;20,U174&lt;T174,E174&gt;45),AND(G174&lt;-20,U174&gt;T174,E174&lt;55))),AND(AND(A174-Y174&lt;200,A174-Y174&gt;9),OR(AND(A174&gt;75,X174="Final Handicap"),AND(A174&gt;25,X174="1st half Handicap")),OR(AND(AK174&gt;20,U174&lt;T174,E174&gt;45),AND(AK174&lt;-20,U174&gt;T174,E174&lt;55))),AND(AND(A174-AL174&lt;200,A174-AL174&gt;9),OR(AND(A174&gt;75,X174="Final Handicap"),AND(A174&gt;25,X174="1st half Handicap")),OR(AND(AX174&gt;20,U174&lt;T174,E174&gt;45),AND(AX174&lt;-20,U174&gt;T174,E174&lt;55))),AND(AND(A174-AY174&lt;200,A174-AY174&gt;9),OR(AND(A174&gt;75,X174="Final Handicap"),AND(A174&gt;25,X174="1st half Handicap")),OR(AND(BK174&gt;20,U174&lt;T174,E174&gt;45),AND(BK174&lt;-20,U174&gt;T174,E174&lt;55)))),"GOOD","")</f>
        <v/>
      </c>
      <c r="BS174" s="21"/>
    </row>
    <row r="175" spans="1:71" ht="17.25" x14ac:dyDescent="0.3">
      <c r="A175" s="3"/>
      <c r="D175" s="8" t="str">
        <f>IF(ISBLANK(T175),"",CONCATENATE(T175,"-",U175))</f>
        <v/>
      </c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>
        <f>IF(NOT(ISBLANK(G175)),ABS(G175),0)</f>
        <v>0</v>
      </c>
      <c r="BM175">
        <f>IF(NOT(ISBLANK(AK175)),ABS(AK175),0)</f>
        <v>0</v>
      </c>
      <c r="BN175">
        <f>IF(NOT(ISBLANK(AX175)),ABS(AX175),0)</f>
        <v>0</v>
      </c>
      <c r="BO175">
        <f>IF(NOT(ISBLANK(BK175)),ABS(BK175),0)</f>
        <v>0</v>
      </c>
      <c r="BP175">
        <f>IF(ISBLANK(E175),0,ABS(E175-50))</f>
        <v>0</v>
      </c>
      <c r="BQ175" s="21" t="str">
        <f>IF(OR(ISBLANK(V175),ISBLANK(W175)),"",IF(SUM(V175,W175)=0,"",CONCATENATE(V175,"-",W175)))</f>
        <v/>
      </c>
      <c r="BR175" s="21" t="str">
        <f>IF(OR(AND(OR(AND(A175&gt;75,X175="Final Handicap"),AND(A175&gt;25,X175="1st half Handicap")),OR(AND(G175&gt;20,U175&lt;T175,E175&gt;45),AND(G175&lt;-20,U175&gt;T175,E175&lt;55))),AND(AND(A175-Y175&lt;200,A175-Y175&gt;9),OR(AND(A175&gt;75,X175="Final Handicap"),AND(A175&gt;25,X175="1st half Handicap")),OR(AND(AK175&gt;20,U175&lt;T175,E175&gt;45),AND(AK175&lt;-20,U175&gt;T175,E175&lt;55))),AND(AND(A175-AL175&lt;200,A175-AL175&gt;9),OR(AND(A175&gt;75,X175="Final Handicap"),AND(A175&gt;25,X175="1st half Handicap")),OR(AND(AX175&gt;20,U175&lt;T175,E175&gt;45),AND(AX175&lt;-20,U175&gt;T175,E175&lt;55))),AND(AND(A175-AY175&lt;200,A175-AY175&gt;9),OR(AND(A175&gt;75,X175="Final Handicap"),AND(A175&gt;25,X175="1st half Handicap")),OR(AND(BK175&gt;20,U175&lt;T175,E175&gt;45),AND(BK175&lt;-20,U175&gt;T175,E175&lt;55)))),"GOOD","")</f>
        <v/>
      </c>
      <c r="BS175" s="21"/>
    </row>
    <row r="176" spans="1:71" ht="17.25" x14ac:dyDescent="0.3">
      <c r="A176" s="3"/>
      <c r="D176" s="8" t="str">
        <f>IF(ISBLANK(T176),"",CONCATENATE(T176,"-",U176))</f>
        <v/>
      </c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>
        <f>IF(NOT(ISBLANK(G176)),ABS(G176),0)</f>
        <v>0</v>
      </c>
      <c r="BM176">
        <f>IF(NOT(ISBLANK(AK176)),ABS(AK176),0)</f>
        <v>0</v>
      </c>
      <c r="BN176">
        <f>IF(NOT(ISBLANK(AX176)),ABS(AX176),0)</f>
        <v>0</v>
      </c>
      <c r="BO176">
        <f>IF(NOT(ISBLANK(BK176)),ABS(BK176),0)</f>
        <v>0</v>
      </c>
      <c r="BP176">
        <f>IF(ISBLANK(E176),0,ABS(E176-50))</f>
        <v>0</v>
      </c>
      <c r="BQ176" s="21" t="str">
        <f>IF(OR(ISBLANK(V176),ISBLANK(W176)),"",IF(SUM(V176,W176)=0,"",CONCATENATE(V176,"-",W176)))</f>
        <v/>
      </c>
      <c r="BR176" s="21" t="str">
        <f>IF(OR(AND(OR(AND(A176&gt;75,X176="Final Handicap"),AND(A176&gt;25,X176="1st half Handicap")),OR(AND(G176&gt;20,U176&lt;T176,E176&gt;45),AND(G176&lt;-20,U176&gt;T176,E176&lt;55))),AND(AND(A176-Y176&lt;200,A176-Y176&gt;9),OR(AND(A176&gt;75,X176="Final Handicap"),AND(A176&gt;25,X176="1st half Handicap")),OR(AND(AK176&gt;20,U176&lt;T176,E176&gt;45),AND(AK176&lt;-20,U176&gt;T176,E176&lt;55))),AND(AND(A176-AL176&lt;200,A176-AL176&gt;9),OR(AND(A176&gt;75,X176="Final Handicap"),AND(A176&gt;25,X176="1st half Handicap")),OR(AND(AX176&gt;20,U176&lt;T176,E176&gt;45),AND(AX176&lt;-20,U176&gt;T176,E176&lt;55))),AND(AND(A176-AY176&lt;200,A176-AY176&gt;9),OR(AND(A176&gt;75,X176="Final Handicap"),AND(A176&gt;25,X176="1st half Handicap")),OR(AND(BK176&gt;20,U176&lt;T176,E176&gt;45),AND(BK176&lt;-20,U176&gt;T176,E176&lt;55)))),"GOOD","")</f>
        <v/>
      </c>
      <c r="BS176" s="21"/>
    </row>
    <row r="177" spans="1:71" ht="17.25" x14ac:dyDescent="0.3">
      <c r="A177" s="3"/>
      <c r="D177" s="8" t="str">
        <f>IF(ISBLANK(T177),"",CONCATENATE(T177,"-",U177))</f>
        <v/>
      </c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>
        <f>IF(NOT(ISBLANK(G177)),ABS(G177),0)</f>
        <v>0</v>
      </c>
      <c r="BM177">
        <f>IF(NOT(ISBLANK(AK177)),ABS(AK177),0)</f>
        <v>0</v>
      </c>
      <c r="BN177">
        <f>IF(NOT(ISBLANK(AX177)),ABS(AX177),0)</f>
        <v>0</v>
      </c>
      <c r="BO177">
        <f>IF(NOT(ISBLANK(BK177)),ABS(BK177),0)</f>
        <v>0</v>
      </c>
      <c r="BP177">
        <f>IF(ISBLANK(E177),0,ABS(E177-50))</f>
        <v>0</v>
      </c>
      <c r="BQ177" s="21" t="str">
        <f>IF(OR(ISBLANK(V177),ISBLANK(W177)),"",IF(SUM(V177,W177)=0,"",CONCATENATE(V177,"-",W177)))</f>
        <v/>
      </c>
      <c r="BR177" s="21" t="str">
        <f>IF(OR(AND(OR(AND(A177&gt;75,X177="Final Handicap"),AND(A177&gt;25,X177="1st half Handicap")),OR(AND(G177&gt;20,U177&lt;T177,E177&gt;45),AND(G177&lt;-20,U177&gt;T177,E177&lt;55))),AND(AND(A177-Y177&lt;200,A177-Y177&gt;9),OR(AND(A177&gt;75,X177="Final Handicap"),AND(A177&gt;25,X177="1st half Handicap")),OR(AND(AK177&gt;20,U177&lt;T177,E177&gt;45),AND(AK177&lt;-20,U177&gt;T177,E177&lt;55))),AND(AND(A177-AL177&lt;200,A177-AL177&gt;9),OR(AND(A177&gt;75,X177="Final Handicap"),AND(A177&gt;25,X177="1st half Handicap")),OR(AND(AX177&gt;20,U177&lt;T177,E177&gt;45),AND(AX177&lt;-20,U177&gt;T177,E177&lt;55))),AND(AND(A177-AY177&lt;200,A177-AY177&gt;9),OR(AND(A177&gt;75,X177="Final Handicap"),AND(A177&gt;25,X177="1st half Handicap")),OR(AND(BK177&gt;20,U177&lt;T177,E177&gt;45),AND(BK177&lt;-20,U177&gt;T177,E177&lt;55)))),"GOOD","")</f>
        <v/>
      </c>
      <c r="BS177" s="21"/>
    </row>
    <row r="178" spans="1:71" ht="17.25" x14ac:dyDescent="0.3">
      <c r="A178" s="3"/>
      <c r="D178" s="8" t="str">
        <f>IF(ISBLANK(T178),"",CONCATENATE(T178,"-",U178))</f>
        <v/>
      </c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>
        <f>IF(NOT(ISBLANK(G178)),ABS(G178),0)</f>
        <v>0</v>
      </c>
      <c r="BM178">
        <f>IF(NOT(ISBLANK(AK178)),ABS(AK178),0)</f>
        <v>0</v>
      </c>
      <c r="BN178">
        <f>IF(NOT(ISBLANK(AX178)),ABS(AX178),0)</f>
        <v>0</v>
      </c>
      <c r="BO178">
        <f>IF(NOT(ISBLANK(BK178)),ABS(BK178),0)</f>
        <v>0</v>
      </c>
      <c r="BP178">
        <f>IF(ISBLANK(E178),0,ABS(E178-50))</f>
        <v>0</v>
      </c>
      <c r="BQ178" s="21" t="str">
        <f>IF(OR(ISBLANK(V178),ISBLANK(W178)),"",IF(SUM(V178,W178)=0,"",CONCATENATE(V178,"-",W178)))</f>
        <v/>
      </c>
      <c r="BR178" s="21" t="str">
        <f>IF(OR(AND(OR(AND(A178&gt;75,X178="Final Handicap"),AND(A178&gt;25,X178="1st half Handicap")),OR(AND(G178&gt;20,U178&lt;T178,E178&gt;45),AND(G178&lt;-20,U178&gt;T178,E178&lt;55))),AND(AND(A178-Y178&lt;200,A178-Y178&gt;9),OR(AND(A178&gt;75,X178="Final Handicap"),AND(A178&gt;25,X178="1st half Handicap")),OR(AND(AK178&gt;20,U178&lt;T178,E178&gt;45),AND(AK178&lt;-20,U178&gt;T178,E178&lt;55))),AND(AND(A178-AL178&lt;200,A178-AL178&gt;9),OR(AND(A178&gt;75,X178="Final Handicap"),AND(A178&gt;25,X178="1st half Handicap")),OR(AND(AX178&gt;20,U178&lt;T178,E178&gt;45),AND(AX178&lt;-20,U178&gt;T178,E178&lt;55))),AND(AND(A178-AY178&lt;200,A178-AY178&gt;9),OR(AND(A178&gt;75,X178="Final Handicap"),AND(A178&gt;25,X178="1st half Handicap")),OR(AND(BK178&gt;20,U178&lt;T178,E178&gt;45),AND(BK178&lt;-20,U178&gt;T178,E178&lt;55)))),"GOOD","")</f>
        <v/>
      </c>
      <c r="BS178" s="21"/>
    </row>
    <row r="179" spans="1:71" ht="17.25" x14ac:dyDescent="0.3">
      <c r="A179" s="3"/>
      <c r="D179" s="8" t="str">
        <f>IF(ISBLANK(T179),"",CONCATENATE(T179,"-",U179))</f>
        <v/>
      </c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>
        <f>IF(NOT(ISBLANK(G179)),ABS(G179),0)</f>
        <v>0</v>
      </c>
      <c r="BM179">
        <f>IF(NOT(ISBLANK(AK179)),ABS(AK179),0)</f>
        <v>0</v>
      </c>
      <c r="BN179">
        <f>IF(NOT(ISBLANK(AX179)),ABS(AX179),0)</f>
        <v>0</v>
      </c>
      <c r="BO179">
        <f>IF(NOT(ISBLANK(BK179)),ABS(BK179),0)</f>
        <v>0</v>
      </c>
      <c r="BP179">
        <f>IF(ISBLANK(E179),0,ABS(E179-50))</f>
        <v>0</v>
      </c>
      <c r="BQ179" s="21" t="str">
        <f>IF(OR(ISBLANK(V179),ISBLANK(W179)),"",IF(SUM(V179,W179)=0,"",CONCATENATE(V179,"-",W179)))</f>
        <v/>
      </c>
      <c r="BR179" s="21" t="str">
        <f>IF(OR(AND(OR(AND(A179&gt;75,X179="Final Handicap"),AND(A179&gt;25,X179="1st half Handicap")),OR(AND(G179&gt;20,U179&lt;T179,E179&gt;45),AND(G179&lt;-20,U179&gt;T179,E179&lt;55))),AND(AND(A179-Y179&lt;200,A179-Y179&gt;9),OR(AND(A179&gt;75,X179="Final Handicap"),AND(A179&gt;25,X179="1st half Handicap")),OR(AND(AK179&gt;20,U179&lt;T179,E179&gt;45),AND(AK179&lt;-20,U179&gt;T179,E179&lt;55))),AND(AND(A179-AL179&lt;200,A179-AL179&gt;9),OR(AND(A179&gt;75,X179="Final Handicap"),AND(A179&gt;25,X179="1st half Handicap")),OR(AND(AX179&gt;20,U179&lt;T179,E179&gt;45),AND(AX179&lt;-20,U179&gt;T179,E179&lt;55))),AND(AND(A179-AY179&lt;200,A179-AY179&gt;9),OR(AND(A179&gt;75,X179="Final Handicap"),AND(A179&gt;25,X179="1st half Handicap")),OR(AND(BK179&gt;20,U179&lt;T179,E179&gt;45),AND(BK179&lt;-20,U179&gt;T179,E179&lt;55)))),"GOOD","")</f>
        <v/>
      </c>
      <c r="BS179" s="21"/>
    </row>
    <row r="180" spans="1:71" ht="17.25" x14ac:dyDescent="0.3">
      <c r="A180" s="3"/>
      <c r="D180" s="8" t="str">
        <f>IF(ISBLANK(T180),"",CONCATENATE(T180,"-",U180))</f>
        <v/>
      </c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>
        <f>IF(NOT(ISBLANK(G180)),ABS(G180),0)</f>
        <v>0</v>
      </c>
      <c r="BM180">
        <f>IF(NOT(ISBLANK(AK180)),ABS(AK180),0)</f>
        <v>0</v>
      </c>
      <c r="BN180">
        <f>IF(NOT(ISBLANK(AX180)),ABS(AX180),0)</f>
        <v>0</v>
      </c>
      <c r="BO180">
        <f>IF(NOT(ISBLANK(BK180)),ABS(BK180),0)</f>
        <v>0</v>
      </c>
      <c r="BP180">
        <f>IF(ISBLANK(E180),0,ABS(E180-50))</f>
        <v>0</v>
      </c>
      <c r="BQ180" s="21" t="str">
        <f>IF(OR(ISBLANK(V180),ISBLANK(W180)),"",IF(SUM(V180,W180)=0,"",CONCATENATE(V180,"-",W180)))</f>
        <v/>
      </c>
      <c r="BR180" s="21" t="str">
        <f>IF(OR(AND(OR(AND(A180&gt;75,X180="Final Handicap"),AND(A180&gt;25,X180="1st half Handicap")),OR(AND(G180&gt;20,U180&lt;T180,E180&gt;45),AND(G180&lt;-20,U180&gt;T180,E180&lt;55))),AND(AND(A180-Y180&lt;200,A180-Y180&gt;9),OR(AND(A180&gt;75,X180="Final Handicap"),AND(A180&gt;25,X180="1st half Handicap")),OR(AND(AK180&gt;20,U180&lt;T180,E180&gt;45),AND(AK180&lt;-20,U180&gt;T180,E180&lt;55))),AND(AND(A180-AL180&lt;200,A180-AL180&gt;9),OR(AND(A180&gt;75,X180="Final Handicap"),AND(A180&gt;25,X180="1st half Handicap")),OR(AND(AX180&gt;20,U180&lt;T180,E180&gt;45),AND(AX180&lt;-20,U180&gt;T180,E180&lt;55))),AND(AND(A180-AY180&lt;200,A180-AY180&gt;9),OR(AND(A180&gt;75,X180="Final Handicap"),AND(A180&gt;25,X180="1st half Handicap")),OR(AND(BK180&gt;20,U180&lt;T180,E180&gt;45),AND(BK180&lt;-20,U180&gt;T180,E180&lt;55)))),"GOOD","")</f>
        <v/>
      </c>
      <c r="BS180" s="21"/>
    </row>
    <row r="181" spans="1:71" ht="17.25" x14ac:dyDescent="0.3">
      <c r="A181" s="3"/>
      <c r="D181" s="8" t="str">
        <f>IF(ISBLANK(T181),"",CONCATENATE(T181,"-",U181))</f>
        <v/>
      </c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>
        <f>IF(NOT(ISBLANK(G181)),ABS(G181),0)</f>
        <v>0</v>
      </c>
      <c r="BM181">
        <f>IF(NOT(ISBLANK(AK181)),ABS(AK181),0)</f>
        <v>0</v>
      </c>
      <c r="BN181">
        <f>IF(NOT(ISBLANK(AX181)),ABS(AX181),0)</f>
        <v>0</v>
      </c>
      <c r="BO181">
        <f>IF(NOT(ISBLANK(BK181)),ABS(BK181),0)</f>
        <v>0</v>
      </c>
      <c r="BP181">
        <f>IF(ISBLANK(E181),0,ABS(E181-50))</f>
        <v>0</v>
      </c>
      <c r="BQ181" s="21" t="str">
        <f>IF(OR(ISBLANK(V181),ISBLANK(W181)),"",IF(SUM(V181,W181)=0,"",CONCATENATE(V181,"-",W181)))</f>
        <v/>
      </c>
      <c r="BR181" s="21" t="str">
        <f>IF(OR(AND(OR(AND(A181&gt;75,X181="Final Handicap"),AND(A181&gt;25,X181="1st half Handicap")),OR(AND(G181&gt;20,U181&lt;T181,E181&gt;45),AND(G181&lt;-20,U181&gt;T181,E181&lt;55))),AND(AND(A181-Y181&lt;200,A181-Y181&gt;9),OR(AND(A181&gt;75,X181="Final Handicap"),AND(A181&gt;25,X181="1st half Handicap")),OR(AND(AK181&gt;20,U181&lt;T181,E181&gt;45),AND(AK181&lt;-20,U181&gt;T181,E181&lt;55))),AND(AND(A181-AL181&lt;200,A181-AL181&gt;9),OR(AND(A181&gt;75,X181="Final Handicap"),AND(A181&gt;25,X181="1st half Handicap")),OR(AND(AX181&gt;20,U181&lt;T181,E181&gt;45),AND(AX181&lt;-20,U181&gt;T181,E181&lt;55))),AND(AND(A181-AY181&lt;200,A181-AY181&gt;9),OR(AND(A181&gt;75,X181="Final Handicap"),AND(A181&gt;25,X181="1st half Handicap")),OR(AND(BK181&gt;20,U181&lt;T181,E181&gt;45),AND(BK181&lt;-20,U181&gt;T181,E181&lt;55)))),"GOOD","")</f>
        <v/>
      </c>
      <c r="BS181" s="21"/>
    </row>
    <row r="182" spans="1:71" ht="17.25" x14ac:dyDescent="0.3">
      <c r="A182" s="3"/>
      <c r="D182" s="8" t="str">
        <f>IF(ISBLANK(T182),"",CONCATENATE(T182,"-",U182))</f>
        <v/>
      </c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>
        <f>IF(NOT(ISBLANK(G182)),ABS(G182),0)</f>
        <v>0</v>
      </c>
      <c r="BM182">
        <f>IF(NOT(ISBLANK(AK182)),ABS(AK182),0)</f>
        <v>0</v>
      </c>
      <c r="BN182">
        <f>IF(NOT(ISBLANK(AX182)),ABS(AX182),0)</f>
        <v>0</v>
      </c>
      <c r="BO182">
        <f>IF(NOT(ISBLANK(BK182)),ABS(BK182),0)</f>
        <v>0</v>
      </c>
      <c r="BP182">
        <f>IF(ISBLANK(E182),0,ABS(E182-50))</f>
        <v>0</v>
      </c>
      <c r="BQ182" s="21" t="str">
        <f>IF(OR(ISBLANK(V182),ISBLANK(W182)),"",IF(SUM(V182,W182)=0,"",CONCATENATE(V182,"-",W182)))</f>
        <v/>
      </c>
      <c r="BR182" s="21" t="str">
        <f>IF(OR(AND(OR(AND(A182&gt;75,X182="Final Handicap"),AND(A182&gt;25,X182="1st half Handicap")),OR(AND(G182&gt;20,U182&lt;T182,E182&gt;45),AND(G182&lt;-20,U182&gt;T182,E182&lt;55))),AND(AND(A182-Y182&lt;200,A182-Y182&gt;9),OR(AND(A182&gt;75,X182="Final Handicap"),AND(A182&gt;25,X182="1st half Handicap")),OR(AND(AK182&gt;20,U182&lt;T182,E182&gt;45),AND(AK182&lt;-20,U182&gt;T182,E182&lt;55))),AND(AND(A182-AL182&lt;200,A182-AL182&gt;9),OR(AND(A182&gt;75,X182="Final Handicap"),AND(A182&gt;25,X182="1st half Handicap")),OR(AND(AX182&gt;20,U182&lt;T182,E182&gt;45),AND(AX182&lt;-20,U182&gt;T182,E182&lt;55))),AND(AND(A182-AY182&lt;200,A182-AY182&gt;9),OR(AND(A182&gt;75,X182="Final Handicap"),AND(A182&gt;25,X182="1st half Handicap")),OR(AND(BK182&gt;20,U182&lt;T182,E182&gt;45),AND(BK182&lt;-20,U182&gt;T182,E182&lt;55)))),"GOOD","")</f>
        <v/>
      </c>
      <c r="BS182" s="21"/>
    </row>
    <row r="183" spans="1:71" ht="17.25" x14ac:dyDescent="0.3">
      <c r="A183" s="3"/>
      <c r="D183" s="8" t="str">
        <f>IF(ISBLANK(T183),"",CONCATENATE(T183,"-",U183))</f>
        <v/>
      </c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>
        <f>IF(NOT(ISBLANK(G183)),ABS(G183),0)</f>
        <v>0</v>
      </c>
      <c r="BM183">
        <f>IF(NOT(ISBLANK(AK183)),ABS(AK183),0)</f>
        <v>0</v>
      </c>
      <c r="BN183">
        <f>IF(NOT(ISBLANK(AX183)),ABS(AX183),0)</f>
        <v>0</v>
      </c>
      <c r="BO183">
        <f>IF(NOT(ISBLANK(BK183)),ABS(BK183),0)</f>
        <v>0</v>
      </c>
      <c r="BP183">
        <f>IF(ISBLANK(E183),0,ABS(E183-50))</f>
        <v>0</v>
      </c>
      <c r="BQ183" s="21" t="str">
        <f>IF(OR(ISBLANK(V183),ISBLANK(W183)),"",IF(SUM(V183,W183)=0,"",CONCATENATE(V183,"-",W183)))</f>
        <v/>
      </c>
      <c r="BR183" s="21" t="str">
        <f>IF(OR(AND(OR(AND(A183&gt;75,X183="Final Handicap"),AND(A183&gt;25,X183="1st half Handicap")),OR(AND(G183&gt;20,U183&lt;T183,E183&gt;45),AND(G183&lt;-20,U183&gt;T183,E183&lt;55))),AND(AND(A183-Y183&lt;200,A183-Y183&gt;9),OR(AND(A183&gt;75,X183="Final Handicap"),AND(A183&gt;25,X183="1st half Handicap")),OR(AND(AK183&gt;20,U183&lt;T183,E183&gt;45),AND(AK183&lt;-20,U183&gt;T183,E183&lt;55))),AND(AND(A183-AL183&lt;200,A183-AL183&gt;9),OR(AND(A183&gt;75,X183="Final Handicap"),AND(A183&gt;25,X183="1st half Handicap")),OR(AND(AX183&gt;20,U183&lt;T183,E183&gt;45),AND(AX183&lt;-20,U183&gt;T183,E183&lt;55))),AND(AND(A183-AY183&lt;200,A183-AY183&gt;9),OR(AND(A183&gt;75,X183="Final Handicap"),AND(A183&gt;25,X183="1st half Handicap")),OR(AND(BK183&gt;20,U183&lt;T183,E183&gt;45),AND(BK183&lt;-20,U183&gt;T183,E183&lt;55)))),"GOOD","")</f>
        <v/>
      </c>
      <c r="BS183" s="21"/>
    </row>
    <row r="184" spans="1:71" ht="17.25" x14ac:dyDescent="0.3">
      <c r="A184" s="3"/>
      <c r="D184" s="8" t="str">
        <f>IF(ISBLANK(T184),"",CONCATENATE(T184,"-",U184))</f>
        <v/>
      </c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>
        <f>IF(NOT(ISBLANK(G184)),ABS(G184),0)</f>
        <v>0</v>
      </c>
      <c r="BM184">
        <f>IF(NOT(ISBLANK(AK184)),ABS(AK184),0)</f>
        <v>0</v>
      </c>
      <c r="BN184">
        <f>IF(NOT(ISBLANK(AX184)),ABS(AX184),0)</f>
        <v>0</v>
      </c>
      <c r="BO184">
        <f>IF(NOT(ISBLANK(BK184)),ABS(BK184),0)</f>
        <v>0</v>
      </c>
      <c r="BP184">
        <f>IF(ISBLANK(E184),0,ABS(E184-50))</f>
        <v>0</v>
      </c>
      <c r="BQ184" s="21" t="str">
        <f>IF(OR(ISBLANK(V184),ISBLANK(W184)),"",IF(SUM(V184,W184)=0,"",CONCATENATE(V184,"-",W184)))</f>
        <v/>
      </c>
      <c r="BR184" s="21" t="str">
        <f>IF(OR(AND(OR(AND(A184&gt;75,X184="Final Handicap"),AND(A184&gt;25,X184="1st half Handicap")),OR(AND(G184&gt;20,U184&lt;T184,E184&gt;45),AND(G184&lt;-20,U184&gt;T184,E184&lt;55))),AND(AND(A184-Y184&lt;200,A184-Y184&gt;9),OR(AND(A184&gt;75,X184="Final Handicap"),AND(A184&gt;25,X184="1st half Handicap")),OR(AND(AK184&gt;20,U184&lt;T184,E184&gt;45),AND(AK184&lt;-20,U184&gt;T184,E184&lt;55))),AND(AND(A184-AL184&lt;200,A184-AL184&gt;9),OR(AND(A184&gt;75,X184="Final Handicap"),AND(A184&gt;25,X184="1st half Handicap")),OR(AND(AX184&gt;20,U184&lt;T184,E184&gt;45),AND(AX184&lt;-20,U184&gt;T184,E184&lt;55))),AND(AND(A184-AY184&lt;200,A184-AY184&gt;9),OR(AND(A184&gt;75,X184="Final Handicap"),AND(A184&gt;25,X184="1st half Handicap")),OR(AND(BK184&gt;20,U184&lt;T184,E184&gt;45),AND(BK184&lt;-20,U184&gt;T184,E184&lt;55)))),"GOOD","")</f>
        <v/>
      </c>
      <c r="BS184" s="21"/>
    </row>
    <row r="185" spans="1:71" ht="17.25" x14ac:dyDescent="0.3">
      <c r="A185" s="3"/>
      <c r="D185" s="8" t="str">
        <f>IF(ISBLANK(T185),"",CONCATENATE(T185,"-",U185))</f>
        <v/>
      </c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>
        <f>IF(NOT(ISBLANK(G185)),ABS(G185),0)</f>
        <v>0</v>
      </c>
      <c r="BM185">
        <f>IF(NOT(ISBLANK(AK185)),ABS(AK185),0)</f>
        <v>0</v>
      </c>
      <c r="BN185">
        <f>IF(NOT(ISBLANK(AX185)),ABS(AX185),0)</f>
        <v>0</v>
      </c>
      <c r="BO185">
        <f>IF(NOT(ISBLANK(BK185)),ABS(BK185),0)</f>
        <v>0</v>
      </c>
      <c r="BP185">
        <f>IF(ISBLANK(E185),0,ABS(E185-50))</f>
        <v>0</v>
      </c>
      <c r="BQ185" s="21" t="str">
        <f>IF(OR(ISBLANK(V185),ISBLANK(W185)),"",IF(SUM(V185,W185)=0,"",CONCATENATE(V185,"-",W185)))</f>
        <v/>
      </c>
      <c r="BR185" s="21" t="str">
        <f>IF(OR(AND(OR(AND(A185&gt;75,X185="Final Handicap"),AND(A185&gt;25,X185="1st half Handicap")),OR(AND(G185&gt;20,U185&lt;T185,E185&gt;45),AND(G185&lt;-20,U185&gt;T185,E185&lt;55))),AND(AND(A185-Y185&lt;200,A185-Y185&gt;9),OR(AND(A185&gt;75,X185="Final Handicap"),AND(A185&gt;25,X185="1st half Handicap")),OR(AND(AK185&gt;20,U185&lt;T185,E185&gt;45),AND(AK185&lt;-20,U185&gt;T185,E185&lt;55))),AND(AND(A185-AL185&lt;200,A185-AL185&gt;9),OR(AND(A185&gt;75,X185="Final Handicap"),AND(A185&gt;25,X185="1st half Handicap")),OR(AND(AX185&gt;20,U185&lt;T185,E185&gt;45),AND(AX185&lt;-20,U185&gt;T185,E185&lt;55))),AND(AND(A185-AY185&lt;200,A185-AY185&gt;9),OR(AND(A185&gt;75,X185="Final Handicap"),AND(A185&gt;25,X185="1st half Handicap")),OR(AND(BK185&gt;20,U185&lt;T185,E185&gt;45),AND(BK185&lt;-20,U185&gt;T185,E185&lt;55)))),"GOOD","")</f>
        <v/>
      </c>
      <c r="BS185" s="21"/>
    </row>
    <row r="186" spans="1:71" ht="17.25" x14ac:dyDescent="0.3">
      <c r="A186" s="3"/>
      <c r="D186" s="8" t="str">
        <f>IF(ISBLANK(T186),"",CONCATENATE(T186,"-",U186))</f>
        <v/>
      </c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>
        <f>IF(NOT(ISBLANK(G186)),ABS(G186),0)</f>
        <v>0</v>
      </c>
      <c r="BM186">
        <f>IF(NOT(ISBLANK(AK186)),ABS(AK186),0)</f>
        <v>0</v>
      </c>
      <c r="BN186">
        <f>IF(NOT(ISBLANK(AX186)),ABS(AX186),0)</f>
        <v>0</v>
      </c>
      <c r="BO186">
        <f>IF(NOT(ISBLANK(BK186)),ABS(BK186),0)</f>
        <v>0</v>
      </c>
      <c r="BP186">
        <f>IF(ISBLANK(E186),0,ABS(E186-50))</f>
        <v>0</v>
      </c>
      <c r="BQ186" s="21" t="str">
        <f>IF(OR(ISBLANK(V186),ISBLANK(W186)),"",IF(SUM(V186,W186)=0,"",CONCATENATE(V186,"-",W186)))</f>
        <v/>
      </c>
      <c r="BR186" s="21" t="str">
        <f>IF(OR(AND(OR(AND(A186&gt;75,X186="Final Handicap"),AND(A186&gt;25,X186="1st half Handicap")),OR(AND(G186&gt;20,U186&lt;T186,E186&gt;45),AND(G186&lt;-20,U186&gt;T186,E186&lt;55))),AND(AND(A186-Y186&lt;200,A186-Y186&gt;9),OR(AND(A186&gt;75,X186="Final Handicap"),AND(A186&gt;25,X186="1st half Handicap")),OR(AND(AK186&gt;20,U186&lt;T186,E186&gt;45),AND(AK186&lt;-20,U186&gt;T186,E186&lt;55))),AND(AND(A186-AL186&lt;200,A186-AL186&gt;9),OR(AND(A186&gt;75,X186="Final Handicap"),AND(A186&gt;25,X186="1st half Handicap")),OR(AND(AX186&gt;20,U186&lt;T186,E186&gt;45),AND(AX186&lt;-20,U186&gt;T186,E186&lt;55))),AND(AND(A186-AY186&lt;200,A186-AY186&gt;9),OR(AND(A186&gt;75,X186="Final Handicap"),AND(A186&gt;25,X186="1st half Handicap")),OR(AND(BK186&gt;20,U186&lt;T186,E186&gt;45),AND(BK186&lt;-20,U186&gt;T186,E186&lt;55)))),"GOOD","")</f>
        <v/>
      </c>
      <c r="BS186" s="21"/>
    </row>
    <row r="187" spans="1:71" ht="17.25" x14ac:dyDescent="0.3">
      <c r="A187" s="3"/>
      <c r="D187" s="8" t="str">
        <f>IF(ISBLANK(T187),"",CONCATENATE(T187,"-",U187))</f>
        <v/>
      </c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>
        <f>IF(NOT(ISBLANK(G187)),ABS(G187),0)</f>
        <v>0</v>
      </c>
      <c r="BM187">
        <f>IF(NOT(ISBLANK(AK187)),ABS(AK187),0)</f>
        <v>0</v>
      </c>
      <c r="BN187">
        <f>IF(NOT(ISBLANK(AX187)),ABS(AX187),0)</f>
        <v>0</v>
      </c>
      <c r="BO187">
        <f>IF(NOT(ISBLANK(BK187)),ABS(BK187),0)</f>
        <v>0</v>
      </c>
      <c r="BP187">
        <f>IF(ISBLANK(E187),0,ABS(E187-50))</f>
        <v>0</v>
      </c>
      <c r="BQ187" s="21" t="str">
        <f>IF(OR(ISBLANK(V187),ISBLANK(W187)),"",IF(SUM(V187,W187)=0,"",CONCATENATE(V187,"-",W187)))</f>
        <v/>
      </c>
      <c r="BR187" s="21" t="str">
        <f>IF(OR(AND(OR(AND(A187&gt;75,X187="Final Handicap"),AND(A187&gt;25,X187="1st half Handicap")),OR(AND(G187&gt;20,U187&lt;T187,E187&gt;45),AND(G187&lt;-20,U187&gt;T187,E187&lt;55))),AND(AND(A187-Y187&lt;200,A187-Y187&gt;9),OR(AND(A187&gt;75,X187="Final Handicap"),AND(A187&gt;25,X187="1st half Handicap")),OR(AND(AK187&gt;20,U187&lt;T187,E187&gt;45),AND(AK187&lt;-20,U187&gt;T187,E187&lt;55))),AND(AND(A187-AL187&lt;200,A187-AL187&gt;9),OR(AND(A187&gt;75,X187="Final Handicap"),AND(A187&gt;25,X187="1st half Handicap")),OR(AND(AX187&gt;20,U187&lt;T187,E187&gt;45),AND(AX187&lt;-20,U187&gt;T187,E187&lt;55))),AND(AND(A187-AY187&lt;200,A187-AY187&gt;9),OR(AND(A187&gt;75,X187="Final Handicap"),AND(A187&gt;25,X187="1st half Handicap")),OR(AND(BK187&gt;20,U187&lt;T187,E187&gt;45),AND(BK187&lt;-20,U187&gt;T187,E187&lt;55)))),"GOOD","")</f>
        <v/>
      </c>
      <c r="BS187" s="21"/>
    </row>
    <row r="188" spans="1:71" ht="17.25" x14ac:dyDescent="0.3">
      <c r="A188" s="3"/>
      <c r="D188" s="8" t="str">
        <f>IF(ISBLANK(T188),"",CONCATENATE(T188,"-",U188))</f>
        <v/>
      </c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>
        <f>IF(NOT(ISBLANK(G188)),ABS(G188),0)</f>
        <v>0</v>
      </c>
      <c r="BM188">
        <f>IF(NOT(ISBLANK(AK188)),ABS(AK188),0)</f>
        <v>0</v>
      </c>
      <c r="BN188">
        <f>IF(NOT(ISBLANK(AX188)),ABS(AX188),0)</f>
        <v>0</v>
      </c>
      <c r="BO188">
        <f>IF(NOT(ISBLANK(BK188)),ABS(BK188),0)</f>
        <v>0</v>
      </c>
      <c r="BP188">
        <f>IF(ISBLANK(E188),0,ABS(E188-50))</f>
        <v>0</v>
      </c>
      <c r="BQ188" s="21" t="str">
        <f>IF(OR(ISBLANK(V188),ISBLANK(W188)),"",IF(SUM(V188,W188)=0,"",CONCATENATE(V188,"-",W188)))</f>
        <v/>
      </c>
      <c r="BR188" s="21" t="str">
        <f>IF(OR(AND(OR(AND(A188&gt;75,X188="Final Handicap"),AND(A188&gt;25,X188="1st half Handicap")),OR(AND(G188&gt;20,U188&lt;T188,E188&gt;45),AND(G188&lt;-20,U188&gt;T188,E188&lt;55))),AND(AND(A188-Y188&lt;200,A188-Y188&gt;9),OR(AND(A188&gt;75,X188="Final Handicap"),AND(A188&gt;25,X188="1st half Handicap")),OR(AND(AK188&gt;20,U188&lt;T188,E188&gt;45),AND(AK188&lt;-20,U188&gt;T188,E188&lt;55))),AND(AND(A188-AL188&lt;200,A188-AL188&gt;9),OR(AND(A188&gt;75,X188="Final Handicap"),AND(A188&gt;25,X188="1st half Handicap")),OR(AND(AX188&gt;20,U188&lt;T188,E188&gt;45),AND(AX188&lt;-20,U188&gt;T188,E188&lt;55))),AND(AND(A188-AY188&lt;200,A188-AY188&gt;9),OR(AND(A188&gt;75,X188="Final Handicap"),AND(A188&gt;25,X188="1st half Handicap")),OR(AND(BK188&gt;20,U188&lt;T188,E188&gt;45),AND(BK188&lt;-20,U188&gt;T188,E188&lt;55)))),"GOOD","")</f>
        <v/>
      </c>
      <c r="BS188" s="21"/>
    </row>
    <row r="189" spans="1:71" ht="17.25" x14ac:dyDescent="0.3">
      <c r="A189" s="3"/>
      <c r="D189" s="8" t="str">
        <f>IF(ISBLANK(T189),"",CONCATENATE(T189,"-",U189))</f>
        <v/>
      </c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>
        <f>IF(NOT(ISBLANK(G189)),ABS(G189),0)</f>
        <v>0</v>
      </c>
      <c r="BM189">
        <f>IF(NOT(ISBLANK(AK189)),ABS(AK189),0)</f>
        <v>0</v>
      </c>
      <c r="BN189">
        <f>IF(NOT(ISBLANK(AX189)),ABS(AX189),0)</f>
        <v>0</v>
      </c>
      <c r="BO189">
        <f>IF(NOT(ISBLANK(BK189)),ABS(BK189),0)</f>
        <v>0</v>
      </c>
      <c r="BP189">
        <f>IF(ISBLANK(E189),0,ABS(E189-50))</f>
        <v>0</v>
      </c>
      <c r="BQ189" s="21" t="str">
        <f>IF(OR(ISBLANK(V189),ISBLANK(W189)),"",IF(SUM(V189,W189)=0,"",CONCATENATE(V189,"-",W189)))</f>
        <v/>
      </c>
      <c r="BR189" s="21" t="str">
        <f>IF(OR(AND(OR(AND(A189&gt;75,X189="Final Handicap"),AND(A189&gt;25,X189="1st half Handicap")),OR(AND(G189&gt;20,U189&lt;T189,E189&gt;45),AND(G189&lt;-20,U189&gt;T189,E189&lt;55))),AND(AND(A189-Y189&lt;200,A189-Y189&gt;9),OR(AND(A189&gt;75,X189="Final Handicap"),AND(A189&gt;25,X189="1st half Handicap")),OR(AND(AK189&gt;20,U189&lt;T189,E189&gt;45),AND(AK189&lt;-20,U189&gt;T189,E189&lt;55))),AND(AND(A189-AL189&lt;200,A189-AL189&gt;9),OR(AND(A189&gt;75,X189="Final Handicap"),AND(A189&gt;25,X189="1st half Handicap")),OR(AND(AX189&gt;20,U189&lt;T189,E189&gt;45),AND(AX189&lt;-20,U189&gt;T189,E189&lt;55))),AND(AND(A189-AY189&lt;200,A189-AY189&gt;9),OR(AND(A189&gt;75,X189="Final Handicap"),AND(A189&gt;25,X189="1st half Handicap")),OR(AND(BK189&gt;20,U189&lt;T189,E189&gt;45),AND(BK189&lt;-20,U189&gt;T189,E189&lt;55)))),"GOOD","")</f>
        <v/>
      </c>
      <c r="BS189" s="21"/>
    </row>
    <row r="190" spans="1:71" ht="17.25" x14ac:dyDescent="0.3">
      <c r="A190" s="3"/>
      <c r="D190" s="8" t="str">
        <f>IF(ISBLANK(T190),"",CONCATENATE(T190,"-",U190))</f>
        <v/>
      </c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>
        <f>IF(NOT(ISBLANK(G190)),ABS(G190),0)</f>
        <v>0</v>
      </c>
      <c r="BM190">
        <f>IF(NOT(ISBLANK(AK190)),ABS(AK190),0)</f>
        <v>0</v>
      </c>
      <c r="BN190">
        <f>IF(NOT(ISBLANK(AX190)),ABS(AX190),0)</f>
        <v>0</v>
      </c>
      <c r="BO190">
        <f>IF(NOT(ISBLANK(BK190)),ABS(BK190),0)</f>
        <v>0</v>
      </c>
      <c r="BP190">
        <f>IF(ISBLANK(E190),0,ABS(E190-50))</f>
        <v>0</v>
      </c>
      <c r="BQ190" s="21" t="str">
        <f>IF(OR(ISBLANK(V190),ISBLANK(W190)),"",IF(SUM(V190,W190)=0,"",CONCATENATE(V190,"-",W190)))</f>
        <v/>
      </c>
      <c r="BR190" s="21" t="str">
        <f>IF(OR(AND(OR(AND(A190&gt;75,X190="Final Handicap"),AND(A190&gt;25,X190="1st half Handicap")),OR(AND(G190&gt;20,U190&lt;T190,E190&gt;45),AND(G190&lt;-20,U190&gt;T190,E190&lt;55))),AND(AND(A190-Y190&lt;200,A190-Y190&gt;9),OR(AND(A190&gt;75,X190="Final Handicap"),AND(A190&gt;25,X190="1st half Handicap")),OR(AND(AK190&gt;20,U190&lt;T190,E190&gt;45),AND(AK190&lt;-20,U190&gt;T190,E190&lt;55))),AND(AND(A190-AL190&lt;200,A190-AL190&gt;9),OR(AND(A190&gt;75,X190="Final Handicap"),AND(A190&gt;25,X190="1st half Handicap")),OR(AND(AX190&gt;20,U190&lt;T190,E190&gt;45),AND(AX190&lt;-20,U190&gt;T190,E190&lt;55))),AND(AND(A190-AY190&lt;200,A190-AY190&gt;9),OR(AND(A190&gt;75,X190="Final Handicap"),AND(A190&gt;25,X190="1st half Handicap")),OR(AND(BK190&gt;20,U190&lt;T190,E190&gt;45),AND(BK190&lt;-20,U190&gt;T190,E190&lt;55)))),"GOOD","")</f>
        <v/>
      </c>
      <c r="BS190" s="21"/>
    </row>
    <row r="191" spans="1:71" ht="17.25" x14ac:dyDescent="0.3">
      <c r="A191" s="3"/>
      <c r="D191" s="8" t="str">
        <f>IF(ISBLANK(T191),"",CONCATENATE(T191,"-",U191))</f>
        <v/>
      </c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>
        <f>IF(NOT(ISBLANK(G191)),ABS(G191),0)</f>
        <v>0</v>
      </c>
      <c r="BM191">
        <f>IF(NOT(ISBLANK(AK191)),ABS(AK191),0)</f>
        <v>0</v>
      </c>
      <c r="BN191">
        <f>IF(NOT(ISBLANK(AX191)),ABS(AX191),0)</f>
        <v>0</v>
      </c>
      <c r="BO191">
        <f>IF(NOT(ISBLANK(BK191)),ABS(BK191),0)</f>
        <v>0</v>
      </c>
      <c r="BP191">
        <f>IF(ISBLANK(E191),0,ABS(E191-50))</f>
        <v>0</v>
      </c>
      <c r="BQ191" s="21" t="str">
        <f>IF(OR(ISBLANK(V191),ISBLANK(W191)),"",IF(SUM(V191,W191)=0,"",CONCATENATE(V191,"-",W191)))</f>
        <v/>
      </c>
      <c r="BR191" s="21" t="str">
        <f>IF(OR(AND(OR(AND(A191&gt;75,X191="Final Handicap"),AND(A191&gt;25,X191="1st half Handicap")),OR(AND(G191&gt;20,U191&lt;T191,E191&gt;45),AND(G191&lt;-20,U191&gt;T191,E191&lt;55))),AND(AND(A191-Y191&lt;200,A191-Y191&gt;9),OR(AND(A191&gt;75,X191="Final Handicap"),AND(A191&gt;25,X191="1st half Handicap")),OR(AND(AK191&gt;20,U191&lt;T191,E191&gt;45),AND(AK191&lt;-20,U191&gt;T191,E191&lt;55))),AND(AND(A191-AL191&lt;200,A191-AL191&gt;9),OR(AND(A191&gt;75,X191="Final Handicap"),AND(A191&gt;25,X191="1st half Handicap")),OR(AND(AX191&gt;20,U191&lt;T191,E191&gt;45),AND(AX191&lt;-20,U191&gt;T191,E191&lt;55))),AND(AND(A191-AY191&lt;200,A191-AY191&gt;9),OR(AND(A191&gt;75,X191="Final Handicap"),AND(A191&gt;25,X191="1st half Handicap")),OR(AND(BK191&gt;20,U191&lt;T191,E191&gt;45),AND(BK191&lt;-20,U191&gt;T191,E191&lt;55)))),"GOOD","")</f>
        <v/>
      </c>
      <c r="BS191" s="21"/>
    </row>
    <row r="192" spans="1:71" ht="17.25" x14ac:dyDescent="0.3">
      <c r="A192" s="3"/>
      <c r="D192" s="8" t="str">
        <f>IF(ISBLANK(T192),"",CONCATENATE(T192,"-",U192))</f>
        <v/>
      </c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>
        <f>IF(NOT(ISBLANK(G192)),ABS(G192),0)</f>
        <v>0</v>
      </c>
      <c r="BM192">
        <f>IF(NOT(ISBLANK(AK192)),ABS(AK192),0)</f>
        <v>0</v>
      </c>
      <c r="BN192">
        <f>IF(NOT(ISBLANK(AX192)),ABS(AX192),0)</f>
        <v>0</v>
      </c>
      <c r="BO192">
        <f>IF(NOT(ISBLANK(BK192)),ABS(BK192),0)</f>
        <v>0</v>
      </c>
      <c r="BP192">
        <f>IF(ISBLANK(E192),0,ABS(E192-50))</f>
        <v>0</v>
      </c>
      <c r="BQ192" s="21" t="str">
        <f>IF(OR(ISBLANK(V192),ISBLANK(W192)),"",IF(SUM(V192,W192)=0,"",CONCATENATE(V192,"-",W192)))</f>
        <v/>
      </c>
      <c r="BR192" s="21" t="str">
        <f>IF(OR(AND(OR(AND(A192&gt;75,X192="Final Handicap"),AND(A192&gt;25,X192="1st half Handicap")),OR(AND(G192&gt;20,U192&lt;T192,E192&gt;45),AND(G192&lt;-20,U192&gt;T192,E192&lt;55))),AND(AND(A192-Y192&lt;200,A192-Y192&gt;9),OR(AND(A192&gt;75,X192="Final Handicap"),AND(A192&gt;25,X192="1st half Handicap")),OR(AND(AK192&gt;20,U192&lt;T192,E192&gt;45),AND(AK192&lt;-20,U192&gt;T192,E192&lt;55))),AND(AND(A192-AL192&lt;200,A192-AL192&gt;9),OR(AND(A192&gt;75,X192="Final Handicap"),AND(A192&gt;25,X192="1st half Handicap")),OR(AND(AX192&gt;20,U192&lt;T192,E192&gt;45),AND(AX192&lt;-20,U192&gt;T192,E192&lt;55))),AND(AND(A192-AY192&lt;200,A192-AY192&gt;9),OR(AND(A192&gt;75,X192="Final Handicap"),AND(A192&gt;25,X192="1st half Handicap")),OR(AND(BK192&gt;20,U192&lt;T192,E192&gt;45),AND(BK192&lt;-20,U192&gt;T192,E192&lt;55)))),"GOOD","")</f>
        <v/>
      </c>
      <c r="BS192" s="21"/>
    </row>
    <row r="193" spans="1:71" ht="17.25" x14ac:dyDescent="0.3">
      <c r="A193" s="3"/>
      <c r="D193" s="8" t="str">
        <f>IF(ISBLANK(T193),"",CONCATENATE(T193,"-",U193))</f>
        <v/>
      </c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>
        <f>IF(NOT(ISBLANK(G193)),ABS(G193),0)</f>
        <v>0</v>
      </c>
      <c r="BM193">
        <f>IF(NOT(ISBLANK(AK193)),ABS(AK193),0)</f>
        <v>0</v>
      </c>
      <c r="BN193">
        <f>IF(NOT(ISBLANK(AX193)),ABS(AX193),0)</f>
        <v>0</v>
      </c>
      <c r="BO193">
        <f>IF(NOT(ISBLANK(BK193)),ABS(BK193),0)</f>
        <v>0</v>
      </c>
      <c r="BP193">
        <f>IF(ISBLANK(E193),0,ABS(E193-50))</f>
        <v>0</v>
      </c>
      <c r="BQ193" s="21" t="str">
        <f>IF(OR(ISBLANK(V193),ISBLANK(W193)),"",IF(SUM(V193,W193)=0,"",CONCATENATE(V193,"-",W193)))</f>
        <v/>
      </c>
      <c r="BR193" s="21" t="str">
        <f>IF(OR(AND(OR(AND(A193&gt;75,X193="Final Handicap"),AND(A193&gt;25,X193="1st half Handicap")),OR(AND(G193&gt;20,U193&lt;T193,E193&gt;45),AND(G193&lt;-20,U193&gt;T193,E193&lt;55))),AND(AND(A193-Y193&lt;200,A193-Y193&gt;9),OR(AND(A193&gt;75,X193="Final Handicap"),AND(A193&gt;25,X193="1st half Handicap")),OR(AND(AK193&gt;20,U193&lt;T193,E193&gt;45),AND(AK193&lt;-20,U193&gt;T193,E193&lt;55))),AND(AND(A193-AL193&lt;200,A193-AL193&gt;9),OR(AND(A193&gt;75,X193="Final Handicap"),AND(A193&gt;25,X193="1st half Handicap")),OR(AND(AX193&gt;20,U193&lt;T193,E193&gt;45),AND(AX193&lt;-20,U193&gt;T193,E193&lt;55))),AND(AND(A193-AY193&lt;200,A193-AY193&gt;9),OR(AND(A193&gt;75,X193="Final Handicap"),AND(A193&gt;25,X193="1st half Handicap")),OR(AND(BK193&gt;20,U193&lt;T193,E193&gt;45),AND(BK193&lt;-20,U193&gt;T193,E193&lt;55)))),"GOOD","")</f>
        <v/>
      </c>
      <c r="BS193" s="21"/>
    </row>
    <row r="194" spans="1:71" ht="17.25" x14ac:dyDescent="0.3">
      <c r="A194" s="3"/>
      <c r="D194" s="8" t="str">
        <f>IF(ISBLANK(T194),"",CONCATENATE(T194,"-",U194))</f>
        <v/>
      </c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>
        <f>IF(NOT(ISBLANK(G194)),ABS(G194),0)</f>
        <v>0</v>
      </c>
      <c r="BM194">
        <f>IF(NOT(ISBLANK(AK194)),ABS(AK194),0)</f>
        <v>0</v>
      </c>
      <c r="BN194">
        <f>IF(NOT(ISBLANK(AX194)),ABS(AX194),0)</f>
        <v>0</v>
      </c>
      <c r="BO194">
        <f>IF(NOT(ISBLANK(BK194)),ABS(BK194),0)</f>
        <v>0</v>
      </c>
      <c r="BP194">
        <f>IF(ISBLANK(E194),0,ABS(E194-50))</f>
        <v>0</v>
      </c>
      <c r="BQ194" s="21" t="str">
        <f>IF(OR(ISBLANK(V194),ISBLANK(W194)),"",IF(SUM(V194,W194)=0,"",CONCATENATE(V194,"-",W194)))</f>
        <v/>
      </c>
      <c r="BR194" s="21" t="str">
        <f>IF(OR(AND(OR(AND(A194&gt;75,X194="Final Handicap"),AND(A194&gt;25,X194="1st half Handicap")),OR(AND(G194&gt;20,U194&lt;T194,E194&gt;45),AND(G194&lt;-20,U194&gt;T194,E194&lt;55))),AND(AND(A194-Y194&lt;200,A194-Y194&gt;9),OR(AND(A194&gt;75,X194="Final Handicap"),AND(A194&gt;25,X194="1st half Handicap")),OR(AND(AK194&gt;20,U194&lt;T194,E194&gt;45),AND(AK194&lt;-20,U194&gt;T194,E194&lt;55))),AND(AND(A194-AL194&lt;200,A194-AL194&gt;9),OR(AND(A194&gt;75,X194="Final Handicap"),AND(A194&gt;25,X194="1st half Handicap")),OR(AND(AX194&gt;20,U194&lt;T194,E194&gt;45),AND(AX194&lt;-20,U194&gt;T194,E194&lt;55))),AND(AND(A194-AY194&lt;200,A194-AY194&gt;9),OR(AND(A194&gt;75,X194="Final Handicap"),AND(A194&gt;25,X194="1st half Handicap")),OR(AND(BK194&gt;20,U194&lt;T194,E194&gt;45),AND(BK194&lt;-20,U194&gt;T194,E194&lt;55)))),"GOOD","")</f>
        <v/>
      </c>
      <c r="BS194" s="21"/>
    </row>
    <row r="195" spans="1:71" ht="17.25" x14ac:dyDescent="0.3">
      <c r="A195" s="3"/>
      <c r="D195" s="8" t="str">
        <f>IF(ISBLANK(T195),"",CONCATENATE(T195,"-",U195))</f>
        <v/>
      </c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>
        <f>IF(NOT(ISBLANK(G195)),ABS(G195),0)</f>
        <v>0</v>
      </c>
      <c r="BM195">
        <f>IF(NOT(ISBLANK(AK195)),ABS(AK195),0)</f>
        <v>0</v>
      </c>
      <c r="BN195">
        <f>IF(NOT(ISBLANK(AX195)),ABS(AX195),0)</f>
        <v>0</v>
      </c>
      <c r="BO195">
        <f>IF(NOT(ISBLANK(BK195)),ABS(BK195),0)</f>
        <v>0</v>
      </c>
      <c r="BP195">
        <f>IF(ISBLANK(E195),0,ABS(E195-50))</f>
        <v>0</v>
      </c>
      <c r="BQ195" s="21" t="str">
        <f>IF(OR(ISBLANK(V195),ISBLANK(W195)),"",IF(SUM(V195,W195)=0,"",CONCATENATE(V195,"-",W195)))</f>
        <v/>
      </c>
      <c r="BR195" s="21" t="str">
        <f>IF(OR(AND(OR(AND(A195&gt;75,X195="Final Handicap"),AND(A195&gt;25,X195="1st half Handicap")),OR(AND(G195&gt;20,U195&lt;T195,E195&gt;45),AND(G195&lt;-20,U195&gt;T195,E195&lt;55))),AND(AND(A195-Y195&lt;200,A195-Y195&gt;9),OR(AND(A195&gt;75,X195="Final Handicap"),AND(A195&gt;25,X195="1st half Handicap")),OR(AND(AK195&gt;20,U195&lt;T195,E195&gt;45),AND(AK195&lt;-20,U195&gt;T195,E195&lt;55))),AND(AND(A195-AL195&lt;200,A195-AL195&gt;9),OR(AND(A195&gt;75,X195="Final Handicap"),AND(A195&gt;25,X195="1st half Handicap")),OR(AND(AX195&gt;20,U195&lt;T195,E195&gt;45),AND(AX195&lt;-20,U195&gt;T195,E195&lt;55))),AND(AND(A195-AY195&lt;200,A195-AY195&gt;9),OR(AND(A195&gt;75,X195="Final Handicap"),AND(A195&gt;25,X195="1st half Handicap")),OR(AND(BK195&gt;20,U195&lt;T195,E195&gt;45),AND(BK195&lt;-20,U195&gt;T195,E195&lt;55)))),"GOOD","")</f>
        <v/>
      </c>
      <c r="BS195" s="21"/>
    </row>
    <row r="196" spans="1:71" ht="17.25" x14ac:dyDescent="0.3">
      <c r="A196" s="3"/>
      <c r="D196" s="8" t="str">
        <f>IF(ISBLANK(T196),"",CONCATENATE(T196,"-",U196))</f>
        <v/>
      </c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>
        <f>IF(NOT(ISBLANK(G196)),ABS(G196),0)</f>
        <v>0</v>
      </c>
      <c r="BM196">
        <f>IF(NOT(ISBLANK(AK196)),ABS(AK196),0)</f>
        <v>0</v>
      </c>
      <c r="BN196">
        <f>IF(NOT(ISBLANK(AX196)),ABS(AX196),0)</f>
        <v>0</v>
      </c>
      <c r="BO196">
        <f>IF(NOT(ISBLANK(BK196)),ABS(BK196),0)</f>
        <v>0</v>
      </c>
      <c r="BP196">
        <f>IF(ISBLANK(E196),0,ABS(E196-50))</f>
        <v>0</v>
      </c>
      <c r="BQ196" s="21" t="str">
        <f>IF(OR(ISBLANK(V196),ISBLANK(W196)),"",IF(SUM(V196,W196)=0,"",CONCATENATE(V196,"-",W196)))</f>
        <v/>
      </c>
      <c r="BR196" s="21" t="str">
        <f>IF(OR(AND(OR(AND(A196&gt;75,X196="Final Handicap"),AND(A196&gt;25,X196="1st half Handicap")),OR(AND(G196&gt;20,U196&lt;T196,E196&gt;45),AND(G196&lt;-20,U196&gt;T196,E196&lt;55))),AND(AND(A196-Y196&lt;200,A196-Y196&gt;9),OR(AND(A196&gt;75,X196="Final Handicap"),AND(A196&gt;25,X196="1st half Handicap")),OR(AND(AK196&gt;20,U196&lt;T196,E196&gt;45),AND(AK196&lt;-20,U196&gt;T196,E196&lt;55))),AND(AND(A196-AL196&lt;200,A196-AL196&gt;9),OR(AND(A196&gt;75,X196="Final Handicap"),AND(A196&gt;25,X196="1st half Handicap")),OR(AND(AX196&gt;20,U196&lt;T196,E196&gt;45),AND(AX196&lt;-20,U196&gt;T196,E196&lt;55))),AND(AND(A196-AY196&lt;200,A196-AY196&gt;9),OR(AND(A196&gt;75,X196="Final Handicap"),AND(A196&gt;25,X196="1st half Handicap")),OR(AND(BK196&gt;20,U196&lt;T196,E196&gt;45),AND(BK196&lt;-20,U196&gt;T196,E196&lt;55)))),"GOOD","")</f>
        <v/>
      </c>
      <c r="BS196" s="21"/>
    </row>
    <row r="197" spans="1:71" ht="17.25" x14ac:dyDescent="0.3">
      <c r="A197" s="3"/>
      <c r="D197" s="8" t="str">
        <f>IF(ISBLANK(T197),"",CONCATENATE(T197,"-",U197))</f>
        <v/>
      </c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>
        <f>IF(NOT(ISBLANK(G197)),ABS(G197),0)</f>
        <v>0</v>
      </c>
      <c r="BM197">
        <f>IF(NOT(ISBLANK(AK197)),ABS(AK197),0)</f>
        <v>0</v>
      </c>
      <c r="BN197">
        <f>IF(NOT(ISBLANK(AX197)),ABS(AX197),0)</f>
        <v>0</v>
      </c>
      <c r="BO197">
        <f>IF(NOT(ISBLANK(BK197)),ABS(BK197),0)</f>
        <v>0</v>
      </c>
      <c r="BP197">
        <f>IF(ISBLANK(E197),0,ABS(E197-50))</f>
        <v>0</v>
      </c>
      <c r="BQ197" s="21" t="str">
        <f>IF(OR(ISBLANK(V197),ISBLANK(W197)),"",IF(SUM(V197,W197)=0,"",CONCATENATE(V197,"-",W197)))</f>
        <v/>
      </c>
      <c r="BR197" s="21" t="str">
        <f>IF(OR(AND(OR(AND(A197&gt;75,X197="Final Handicap"),AND(A197&gt;25,X197="1st half Handicap")),OR(AND(G197&gt;20,U197&lt;T197,E197&gt;45),AND(G197&lt;-20,U197&gt;T197,E197&lt;55))),AND(AND(A197-Y197&lt;200,A197-Y197&gt;9),OR(AND(A197&gt;75,X197="Final Handicap"),AND(A197&gt;25,X197="1st half Handicap")),OR(AND(AK197&gt;20,U197&lt;T197,E197&gt;45),AND(AK197&lt;-20,U197&gt;T197,E197&lt;55))),AND(AND(A197-AL197&lt;200,A197-AL197&gt;9),OR(AND(A197&gt;75,X197="Final Handicap"),AND(A197&gt;25,X197="1st half Handicap")),OR(AND(AX197&gt;20,U197&lt;T197,E197&gt;45),AND(AX197&lt;-20,U197&gt;T197,E197&lt;55))),AND(AND(A197-AY197&lt;200,A197-AY197&gt;9),OR(AND(A197&gt;75,X197="Final Handicap"),AND(A197&gt;25,X197="1st half Handicap")),OR(AND(BK197&gt;20,U197&lt;T197,E197&gt;45),AND(BK197&lt;-20,U197&gt;T197,E197&lt;55)))),"GOOD","")</f>
        <v/>
      </c>
      <c r="BS197" s="21"/>
    </row>
    <row r="198" spans="1:71" ht="17.25" x14ac:dyDescent="0.3">
      <c r="A198" s="3"/>
      <c r="D198" s="8" t="str">
        <f>IF(ISBLANK(T198),"",CONCATENATE(T198,"-",U198))</f>
        <v/>
      </c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>
        <f>IF(NOT(ISBLANK(G198)),ABS(G198),0)</f>
        <v>0</v>
      </c>
      <c r="BM198">
        <f>IF(NOT(ISBLANK(AK198)),ABS(AK198),0)</f>
        <v>0</v>
      </c>
      <c r="BN198">
        <f>IF(NOT(ISBLANK(AX198)),ABS(AX198),0)</f>
        <v>0</v>
      </c>
      <c r="BO198">
        <f>IF(NOT(ISBLANK(BK198)),ABS(BK198),0)</f>
        <v>0</v>
      </c>
      <c r="BP198">
        <f>IF(ISBLANK(E198),0,ABS(E198-50))</f>
        <v>0</v>
      </c>
      <c r="BQ198" s="21" t="str">
        <f>IF(OR(ISBLANK(V198),ISBLANK(W198)),"",IF(SUM(V198,W198)=0,"",CONCATENATE(V198,"-",W198)))</f>
        <v/>
      </c>
      <c r="BR198" s="21" t="str">
        <f>IF(OR(AND(OR(AND(A198&gt;75,X198="Final Handicap"),AND(A198&gt;25,X198="1st half Handicap")),OR(AND(G198&gt;20,U198&lt;T198,E198&gt;45),AND(G198&lt;-20,U198&gt;T198,E198&lt;55))),AND(AND(A198-Y198&lt;200,A198-Y198&gt;9),OR(AND(A198&gt;75,X198="Final Handicap"),AND(A198&gt;25,X198="1st half Handicap")),OR(AND(AK198&gt;20,U198&lt;T198,E198&gt;45),AND(AK198&lt;-20,U198&gt;T198,E198&lt;55))),AND(AND(A198-AL198&lt;200,A198-AL198&gt;9),OR(AND(A198&gt;75,X198="Final Handicap"),AND(A198&gt;25,X198="1st half Handicap")),OR(AND(AX198&gt;20,U198&lt;T198,E198&gt;45),AND(AX198&lt;-20,U198&gt;T198,E198&lt;55))),AND(AND(A198-AY198&lt;200,A198-AY198&gt;9),OR(AND(A198&gt;75,X198="Final Handicap"),AND(A198&gt;25,X198="1st half Handicap")),OR(AND(BK198&gt;20,U198&lt;T198,E198&gt;45),AND(BK198&lt;-20,U198&gt;T198,E198&lt;55)))),"GOOD","")</f>
        <v/>
      </c>
      <c r="BS198" s="21"/>
    </row>
    <row r="199" spans="1:71" ht="17.25" x14ac:dyDescent="0.3">
      <c r="A199" s="3"/>
      <c r="D199" s="8" t="str">
        <f>IF(ISBLANK(T199),"",CONCATENATE(T199,"-",U199))</f>
        <v/>
      </c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>
        <f>IF(NOT(ISBLANK(G199)),ABS(G199),0)</f>
        <v>0</v>
      </c>
      <c r="BM199">
        <f>IF(NOT(ISBLANK(AK199)),ABS(AK199),0)</f>
        <v>0</v>
      </c>
      <c r="BN199">
        <f>IF(NOT(ISBLANK(AX199)),ABS(AX199),0)</f>
        <v>0</v>
      </c>
      <c r="BO199">
        <f>IF(NOT(ISBLANK(BK199)),ABS(BK199),0)</f>
        <v>0</v>
      </c>
      <c r="BP199">
        <f>IF(ISBLANK(E199),0,ABS(E199-50))</f>
        <v>0</v>
      </c>
      <c r="BQ199" s="21" t="str">
        <f>IF(OR(ISBLANK(V199),ISBLANK(W199)),"",IF(SUM(V199,W199)=0,"",CONCATENATE(V199,"-",W199)))</f>
        <v/>
      </c>
      <c r="BR199" s="21" t="str">
        <f>IF(OR(AND(OR(AND(A199&gt;75,X199="Final Handicap"),AND(A199&gt;25,X199="1st half Handicap")),OR(AND(G199&gt;20,U199&lt;T199,E199&gt;45),AND(G199&lt;-20,U199&gt;T199,E199&lt;55))),AND(AND(A199-Y199&lt;200,A199-Y199&gt;9),OR(AND(A199&gt;75,X199="Final Handicap"),AND(A199&gt;25,X199="1st half Handicap")),OR(AND(AK199&gt;20,U199&lt;T199,E199&gt;45),AND(AK199&lt;-20,U199&gt;T199,E199&lt;55))),AND(AND(A199-AL199&lt;200,A199-AL199&gt;9),OR(AND(A199&gt;75,X199="Final Handicap"),AND(A199&gt;25,X199="1st half Handicap")),OR(AND(AX199&gt;20,U199&lt;T199,E199&gt;45),AND(AX199&lt;-20,U199&gt;T199,E199&lt;55))),AND(AND(A199-AY199&lt;200,A199-AY199&gt;9),OR(AND(A199&gt;75,X199="Final Handicap"),AND(A199&gt;25,X199="1st half Handicap")),OR(AND(BK199&gt;20,U199&lt;T199,E199&gt;45),AND(BK199&lt;-20,U199&gt;T199,E199&lt;55)))),"GOOD","")</f>
        <v/>
      </c>
      <c r="BS199" s="21"/>
    </row>
    <row r="200" spans="1:71" ht="17.25" x14ac:dyDescent="0.3">
      <c r="A200" s="3"/>
      <c r="D200" s="8" t="str">
        <f>IF(ISBLANK(T200),"",CONCATENATE(T200,"-",U200))</f>
        <v/>
      </c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>
        <f>IF(NOT(ISBLANK(G200)),ABS(G200),0)</f>
        <v>0</v>
      </c>
      <c r="BM200">
        <f>IF(NOT(ISBLANK(AK200)),ABS(AK200),0)</f>
        <v>0</v>
      </c>
      <c r="BN200">
        <f>IF(NOT(ISBLANK(AX200)),ABS(AX200),0)</f>
        <v>0</v>
      </c>
      <c r="BO200">
        <f>IF(NOT(ISBLANK(BK200)),ABS(BK200),0)</f>
        <v>0</v>
      </c>
      <c r="BP200">
        <f>IF(ISBLANK(E200),0,ABS(E200-50))</f>
        <v>0</v>
      </c>
      <c r="BQ200" s="21" t="str">
        <f>IF(OR(ISBLANK(V200),ISBLANK(W200)),"",IF(SUM(V200,W200)=0,"",CONCATENATE(V200,"-",W200)))</f>
        <v/>
      </c>
      <c r="BR200" s="21" t="str">
        <f>IF(OR(AND(OR(AND(A200&gt;75,X200="Final Handicap"),AND(A200&gt;25,X200="1st half Handicap")),OR(AND(G200&gt;20,U200&lt;T200,E200&gt;45),AND(G200&lt;-20,U200&gt;T200,E200&lt;55))),AND(AND(A200-Y200&lt;200,A200-Y200&gt;9),OR(AND(A200&gt;75,X200="Final Handicap"),AND(A200&gt;25,X200="1st half Handicap")),OR(AND(AK200&gt;20,U200&lt;T200,E200&gt;45),AND(AK200&lt;-20,U200&gt;T200,E200&lt;55))),AND(AND(A200-AL200&lt;200,A200-AL200&gt;9),OR(AND(A200&gt;75,X200="Final Handicap"),AND(A200&gt;25,X200="1st half Handicap")),OR(AND(AX200&gt;20,U200&lt;T200,E200&gt;45),AND(AX200&lt;-20,U200&gt;T200,E200&lt;55))),AND(AND(A200-AY200&lt;200,A200-AY200&gt;9),OR(AND(A200&gt;75,X200="Final Handicap"),AND(A200&gt;25,X200="1st half Handicap")),OR(AND(BK200&gt;20,U200&lt;T200,E200&gt;45),AND(BK200&lt;-20,U200&gt;T200,E200&lt;55)))),"GOOD","")</f>
        <v/>
      </c>
      <c r="BS200" s="21"/>
    </row>
    <row r="201" spans="1:71" ht="17.25" x14ac:dyDescent="0.3">
      <c r="A201" s="3"/>
      <c r="D201" s="8" t="str">
        <f>IF(ISBLANK(T201),"",CONCATENATE(T201,"-",U201))</f>
        <v/>
      </c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>
        <f>IF(NOT(ISBLANK(G201)),ABS(G201),0)</f>
        <v>0</v>
      </c>
      <c r="BM201">
        <f>IF(NOT(ISBLANK(AK201)),ABS(AK201),0)</f>
        <v>0</v>
      </c>
      <c r="BN201">
        <f>IF(NOT(ISBLANK(AX201)),ABS(AX201),0)</f>
        <v>0</v>
      </c>
      <c r="BO201">
        <f>IF(NOT(ISBLANK(BK201)),ABS(BK201),0)</f>
        <v>0</v>
      </c>
      <c r="BP201">
        <f>IF(ISBLANK(E201),0,ABS(E201-50))</f>
        <v>0</v>
      </c>
      <c r="BQ201" s="21" t="str">
        <f>IF(OR(ISBLANK(V201),ISBLANK(W201)),"",IF(SUM(V201,W201)=0,"",CONCATENATE(V201,"-",W201)))</f>
        <v/>
      </c>
      <c r="BR201" s="21" t="str">
        <f>IF(OR(AND(OR(AND(A201&gt;75,X201="Final Handicap"),AND(A201&gt;25,X201="1st half Handicap")),OR(AND(G201&gt;20,U201&lt;T201,E201&gt;45),AND(G201&lt;-20,U201&gt;T201,E201&lt;55))),AND(AND(A201-Y201&lt;200,A201-Y201&gt;9),OR(AND(A201&gt;75,X201="Final Handicap"),AND(A201&gt;25,X201="1st half Handicap")),OR(AND(AK201&gt;20,U201&lt;T201,E201&gt;45),AND(AK201&lt;-20,U201&gt;T201,E201&lt;55))),AND(AND(A201-AL201&lt;200,A201-AL201&gt;9),OR(AND(A201&gt;75,X201="Final Handicap"),AND(A201&gt;25,X201="1st half Handicap")),OR(AND(AX201&gt;20,U201&lt;T201,E201&gt;45),AND(AX201&lt;-20,U201&gt;T201,E201&lt;55))),AND(AND(A201-AY201&lt;200,A201-AY201&gt;9),OR(AND(A201&gt;75,X201="Final Handicap"),AND(A201&gt;25,X201="1st half Handicap")),OR(AND(BK201&gt;20,U201&lt;T201,E201&gt;45),AND(BK201&lt;-20,U201&gt;T201,E201&lt;55)))),"GOOD","")</f>
        <v/>
      </c>
      <c r="BS201" s="21"/>
    </row>
    <row r="202" spans="1:71" ht="17.25" x14ac:dyDescent="0.3">
      <c r="A202" s="3"/>
      <c r="D202" s="8" t="str">
        <f>IF(ISBLANK(T202),"",CONCATENATE(T202,"-",U202))</f>
        <v/>
      </c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>
        <f>IF(NOT(ISBLANK(G202)),ABS(G202),0)</f>
        <v>0</v>
      </c>
      <c r="BM202">
        <f>IF(NOT(ISBLANK(AK202)),ABS(AK202),0)</f>
        <v>0</v>
      </c>
      <c r="BN202">
        <f>IF(NOT(ISBLANK(AX202)),ABS(AX202),0)</f>
        <v>0</v>
      </c>
      <c r="BO202">
        <f>IF(NOT(ISBLANK(BK202)),ABS(BK202),0)</f>
        <v>0</v>
      </c>
      <c r="BP202">
        <f>IF(ISBLANK(E202),0,ABS(E202-50))</f>
        <v>0</v>
      </c>
      <c r="BQ202" s="21" t="str">
        <f>IF(OR(ISBLANK(V202),ISBLANK(W202)),"",IF(SUM(V202,W202)=0,"",CONCATENATE(V202,"-",W202)))</f>
        <v/>
      </c>
      <c r="BR202" s="21" t="str">
        <f>IF(OR(AND(OR(AND(A202&gt;75,X202="Final Handicap"),AND(A202&gt;25,X202="1st half Handicap")),OR(AND(G202&gt;20,U202&lt;T202,E202&gt;45),AND(G202&lt;-20,U202&gt;T202,E202&lt;55))),AND(AND(A202-Y202&lt;200,A202-Y202&gt;9),OR(AND(A202&gt;75,X202="Final Handicap"),AND(A202&gt;25,X202="1st half Handicap")),OR(AND(AK202&gt;20,U202&lt;T202,E202&gt;45),AND(AK202&lt;-20,U202&gt;T202,E202&lt;55))),AND(AND(A202-AL202&lt;200,A202-AL202&gt;9),OR(AND(A202&gt;75,X202="Final Handicap"),AND(A202&gt;25,X202="1st half Handicap")),OR(AND(AX202&gt;20,U202&lt;T202,E202&gt;45),AND(AX202&lt;-20,U202&gt;T202,E202&lt;55))),AND(AND(A202-AY202&lt;200,A202-AY202&gt;9),OR(AND(A202&gt;75,X202="Final Handicap"),AND(A202&gt;25,X202="1st half Handicap")),OR(AND(BK202&gt;20,U202&lt;T202,E202&gt;45),AND(BK202&lt;-20,U202&gt;T202,E202&lt;55)))),"GOOD","")</f>
        <v/>
      </c>
      <c r="BS202" s="21"/>
    </row>
    <row r="203" spans="1:71" ht="17.25" x14ac:dyDescent="0.3">
      <c r="A203" s="3"/>
      <c r="D203" s="8" t="str">
        <f>IF(ISBLANK(T203),"",CONCATENATE(T203,"-",U203))</f>
        <v/>
      </c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>
        <f>IF(NOT(ISBLANK(G203)),ABS(G203),0)</f>
        <v>0</v>
      </c>
      <c r="BM203">
        <f>IF(NOT(ISBLANK(AK203)),ABS(AK203),0)</f>
        <v>0</v>
      </c>
      <c r="BN203">
        <f>IF(NOT(ISBLANK(AX203)),ABS(AX203),0)</f>
        <v>0</v>
      </c>
      <c r="BO203">
        <f>IF(NOT(ISBLANK(BK203)),ABS(BK203),0)</f>
        <v>0</v>
      </c>
      <c r="BP203">
        <f>IF(ISBLANK(E203),0,ABS(E203-50))</f>
        <v>0</v>
      </c>
      <c r="BQ203" s="21" t="str">
        <f>IF(OR(ISBLANK(V203),ISBLANK(W203)),"",IF(SUM(V203,W203)=0,"",CONCATENATE(V203,"-",W203)))</f>
        <v/>
      </c>
      <c r="BR203" s="21" t="str">
        <f>IF(OR(AND(OR(AND(A203&gt;75,X203="Final Handicap"),AND(A203&gt;25,X203="1st half Handicap")),OR(AND(G203&gt;20,U203&lt;T203,E203&gt;45),AND(G203&lt;-20,U203&gt;T203,E203&lt;55))),AND(AND(A203-Y203&lt;200,A203-Y203&gt;9),OR(AND(A203&gt;75,X203="Final Handicap"),AND(A203&gt;25,X203="1st half Handicap")),OR(AND(AK203&gt;20,U203&lt;T203,E203&gt;45),AND(AK203&lt;-20,U203&gt;T203,E203&lt;55))),AND(AND(A203-AL203&lt;200,A203-AL203&gt;9),OR(AND(A203&gt;75,X203="Final Handicap"),AND(A203&gt;25,X203="1st half Handicap")),OR(AND(AX203&gt;20,U203&lt;T203,E203&gt;45),AND(AX203&lt;-20,U203&gt;T203,E203&lt;55))),AND(AND(A203-AY203&lt;200,A203-AY203&gt;9),OR(AND(A203&gt;75,X203="Final Handicap"),AND(A203&gt;25,X203="1st half Handicap")),OR(AND(BK203&gt;20,U203&lt;T203,E203&gt;45),AND(BK203&lt;-20,U203&gt;T203,E203&lt;55)))),"GOOD","")</f>
        <v/>
      </c>
      <c r="BS203" s="21"/>
    </row>
    <row r="204" spans="1:71" ht="17.25" x14ac:dyDescent="0.3">
      <c r="A204" s="3"/>
      <c r="D204" s="8" t="str">
        <f>IF(ISBLANK(T204),"",CONCATENATE(T204,"-",U204))</f>
        <v/>
      </c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>
        <f>IF(NOT(ISBLANK(G204)),ABS(G204),0)</f>
        <v>0</v>
      </c>
      <c r="BM204">
        <f>IF(NOT(ISBLANK(AK204)),ABS(AK204),0)</f>
        <v>0</v>
      </c>
      <c r="BN204">
        <f>IF(NOT(ISBLANK(AX204)),ABS(AX204),0)</f>
        <v>0</v>
      </c>
      <c r="BO204">
        <f>IF(NOT(ISBLANK(BK204)),ABS(BK204),0)</f>
        <v>0</v>
      </c>
      <c r="BP204">
        <f>IF(ISBLANK(E204),0,ABS(E204-50))</f>
        <v>0</v>
      </c>
      <c r="BQ204" s="21" t="str">
        <f>IF(OR(ISBLANK(V204),ISBLANK(W204)),"",IF(SUM(V204,W204)=0,"",CONCATENATE(V204,"-",W204)))</f>
        <v/>
      </c>
      <c r="BR204" s="21" t="str">
        <f>IF(OR(AND(OR(AND(A204&gt;75,X204="Final Handicap"),AND(A204&gt;25,X204="1st half Handicap")),OR(AND(G204&gt;20,U204&lt;T204,E204&gt;45),AND(G204&lt;-20,U204&gt;T204,E204&lt;55))),AND(AND(A204-Y204&lt;200,A204-Y204&gt;9),OR(AND(A204&gt;75,X204="Final Handicap"),AND(A204&gt;25,X204="1st half Handicap")),OR(AND(AK204&gt;20,U204&lt;T204,E204&gt;45),AND(AK204&lt;-20,U204&gt;T204,E204&lt;55))),AND(AND(A204-AL204&lt;200,A204-AL204&gt;9),OR(AND(A204&gt;75,X204="Final Handicap"),AND(A204&gt;25,X204="1st half Handicap")),OR(AND(AX204&gt;20,U204&lt;T204,E204&gt;45),AND(AX204&lt;-20,U204&gt;T204,E204&lt;55))),AND(AND(A204-AY204&lt;200,A204-AY204&gt;9),OR(AND(A204&gt;75,X204="Final Handicap"),AND(A204&gt;25,X204="1st half Handicap")),OR(AND(BK204&gt;20,U204&lt;T204,E204&gt;45),AND(BK204&lt;-20,U204&gt;T204,E204&lt;55)))),"GOOD","")</f>
        <v/>
      </c>
      <c r="BS204" s="21"/>
    </row>
    <row r="205" spans="1:71" ht="17.25" x14ac:dyDescent="0.3">
      <c r="A205" s="3"/>
      <c r="D205" s="8" t="str">
        <f>IF(ISBLANK(T205),"",CONCATENATE(T205,"-",U205))</f>
        <v/>
      </c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>
        <f>IF(NOT(ISBLANK(G205)),ABS(G205),0)</f>
        <v>0</v>
      </c>
      <c r="BM205">
        <f>IF(NOT(ISBLANK(AK205)),ABS(AK205),0)</f>
        <v>0</v>
      </c>
      <c r="BN205">
        <f>IF(NOT(ISBLANK(AX205)),ABS(AX205),0)</f>
        <v>0</v>
      </c>
      <c r="BO205">
        <f>IF(NOT(ISBLANK(BK205)),ABS(BK205),0)</f>
        <v>0</v>
      </c>
      <c r="BP205">
        <f>IF(ISBLANK(E205),0,ABS(E205-50))</f>
        <v>0</v>
      </c>
      <c r="BQ205" s="21" t="str">
        <f>IF(OR(ISBLANK(V205),ISBLANK(W205)),"",IF(SUM(V205,W205)=0,"",CONCATENATE(V205,"-",W205)))</f>
        <v/>
      </c>
      <c r="BR205" s="21" t="str">
        <f>IF(OR(AND(OR(AND(A205&gt;75,X205="Final Handicap"),AND(A205&gt;25,X205="1st half Handicap")),OR(AND(G205&gt;20,U205&lt;T205,E205&gt;45),AND(G205&lt;-20,U205&gt;T205,E205&lt;55))),AND(AND(A205-Y205&lt;200,A205-Y205&gt;9),OR(AND(A205&gt;75,X205="Final Handicap"),AND(A205&gt;25,X205="1st half Handicap")),OR(AND(AK205&gt;20,U205&lt;T205,E205&gt;45),AND(AK205&lt;-20,U205&gt;T205,E205&lt;55))),AND(AND(A205-AL205&lt;200,A205-AL205&gt;9),OR(AND(A205&gt;75,X205="Final Handicap"),AND(A205&gt;25,X205="1st half Handicap")),OR(AND(AX205&gt;20,U205&lt;T205,E205&gt;45),AND(AX205&lt;-20,U205&gt;T205,E205&lt;55))),AND(AND(A205-AY205&lt;200,A205-AY205&gt;9),OR(AND(A205&gt;75,X205="Final Handicap"),AND(A205&gt;25,X205="1st half Handicap")),OR(AND(BK205&gt;20,U205&lt;T205,E205&gt;45),AND(BK205&lt;-20,U205&gt;T205,E205&lt;55)))),"GOOD","")</f>
        <v/>
      </c>
      <c r="BS205" s="21"/>
    </row>
    <row r="206" spans="1:71" ht="17.25" x14ac:dyDescent="0.3">
      <c r="A206" s="3"/>
      <c r="D206" s="8" t="str">
        <f>IF(ISBLANK(T206),"",CONCATENATE(T206,"-",U206))</f>
        <v/>
      </c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>
        <f>IF(NOT(ISBLANK(G206)),ABS(G206),0)</f>
        <v>0</v>
      </c>
      <c r="BM206">
        <f>IF(NOT(ISBLANK(AK206)),ABS(AK206),0)</f>
        <v>0</v>
      </c>
      <c r="BN206">
        <f>IF(NOT(ISBLANK(AX206)),ABS(AX206),0)</f>
        <v>0</v>
      </c>
      <c r="BO206">
        <f>IF(NOT(ISBLANK(BK206)),ABS(BK206),0)</f>
        <v>0</v>
      </c>
      <c r="BP206">
        <f>IF(ISBLANK(E206),0,ABS(E206-50))</f>
        <v>0</v>
      </c>
      <c r="BQ206" s="21" t="str">
        <f>IF(OR(ISBLANK(V206),ISBLANK(W206)),"",IF(SUM(V206,W206)=0,"",CONCATENATE(V206,"-",W206)))</f>
        <v/>
      </c>
      <c r="BR206" s="21" t="str">
        <f>IF(OR(AND(OR(AND(A206&gt;75,X206="Final Handicap"),AND(A206&gt;25,X206="1st half Handicap")),OR(AND(G206&gt;20,U206&lt;T206,E206&gt;45),AND(G206&lt;-20,U206&gt;T206,E206&lt;55))),AND(AND(A206-Y206&lt;200,A206-Y206&gt;9),OR(AND(A206&gt;75,X206="Final Handicap"),AND(A206&gt;25,X206="1st half Handicap")),OR(AND(AK206&gt;20,U206&lt;T206,E206&gt;45),AND(AK206&lt;-20,U206&gt;T206,E206&lt;55))),AND(AND(A206-AL206&lt;200,A206-AL206&gt;9),OR(AND(A206&gt;75,X206="Final Handicap"),AND(A206&gt;25,X206="1st half Handicap")),OR(AND(AX206&gt;20,U206&lt;T206,E206&gt;45),AND(AX206&lt;-20,U206&gt;T206,E206&lt;55))),AND(AND(A206-AY206&lt;200,A206-AY206&gt;9),OR(AND(A206&gt;75,X206="Final Handicap"),AND(A206&gt;25,X206="1st half Handicap")),OR(AND(BK206&gt;20,U206&lt;T206,E206&gt;45),AND(BK206&lt;-20,U206&gt;T206,E206&lt;55)))),"GOOD","")</f>
        <v/>
      </c>
      <c r="BS206" s="21"/>
    </row>
    <row r="207" spans="1:71" ht="17.25" x14ac:dyDescent="0.3">
      <c r="A207" s="3"/>
      <c r="D207" s="8" t="str">
        <f>IF(ISBLANK(T207),"",CONCATENATE(T207,"-",U207))</f>
        <v/>
      </c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>
        <f>IF(NOT(ISBLANK(G207)),ABS(G207),0)</f>
        <v>0</v>
      </c>
      <c r="BM207">
        <f>IF(NOT(ISBLANK(AK207)),ABS(AK207),0)</f>
        <v>0</v>
      </c>
      <c r="BN207">
        <f>IF(NOT(ISBLANK(AX207)),ABS(AX207),0)</f>
        <v>0</v>
      </c>
      <c r="BO207">
        <f>IF(NOT(ISBLANK(BK207)),ABS(BK207),0)</f>
        <v>0</v>
      </c>
      <c r="BP207">
        <f>IF(ISBLANK(E207),0,ABS(E207-50))</f>
        <v>0</v>
      </c>
      <c r="BQ207" s="21" t="str">
        <f>IF(OR(ISBLANK(V207),ISBLANK(W207)),"",IF(SUM(V207,W207)=0,"",CONCATENATE(V207,"-",W207)))</f>
        <v/>
      </c>
      <c r="BR207" s="21" t="str">
        <f>IF(OR(AND(OR(AND(A207&gt;75,X207="Final Handicap"),AND(A207&gt;25,X207="1st half Handicap")),OR(AND(G207&gt;20,U207&lt;T207,E207&gt;45),AND(G207&lt;-20,U207&gt;T207,E207&lt;55))),AND(AND(A207-Y207&lt;200,A207-Y207&gt;9),OR(AND(A207&gt;75,X207="Final Handicap"),AND(A207&gt;25,X207="1st half Handicap")),OR(AND(AK207&gt;20,U207&lt;T207,E207&gt;45),AND(AK207&lt;-20,U207&gt;T207,E207&lt;55))),AND(AND(A207-AL207&lt;200,A207-AL207&gt;9),OR(AND(A207&gt;75,X207="Final Handicap"),AND(A207&gt;25,X207="1st half Handicap")),OR(AND(AX207&gt;20,U207&lt;T207,E207&gt;45),AND(AX207&lt;-20,U207&gt;T207,E207&lt;55))),AND(AND(A207-AY207&lt;200,A207-AY207&gt;9),OR(AND(A207&gt;75,X207="Final Handicap"),AND(A207&gt;25,X207="1st half Handicap")),OR(AND(BK207&gt;20,U207&lt;T207,E207&gt;45),AND(BK207&lt;-20,U207&gt;T207,E207&lt;55)))),"GOOD","")</f>
        <v/>
      </c>
      <c r="BS207" s="21"/>
    </row>
    <row r="208" spans="1:71" ht="17.25" x14ac:dyDescent="0.3">
      <c r="A208" s="3"/>
      <c r="D208" s="8" t="str">
        <f>IF(ISBLANK(T208),"",CONCATENATE(T208,"-",U208))</f>
        <v/>
      </c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>
        <f>IF(NOT(ISBLANK(G208)),ABS(G208),0)</f>
        <v>0</v>
      </c>
      <c r="BM208">
        <f>IF(NOT(ISBLANK(AK208)),ABS(AK208),0)</f>
        <v>0</v>
      </c>
      <c r="BN208">
        <f>IF(NOT(ISBLANK(AX208)),ABS(AX208),0)</f>
        <v>0</v>
      </c>
      <c r="BO208">
        <f>IF(NOT(ISBLANK(BK208)),ABS(BK208),0)</f>
        <v>0</v>
      </c>
      <c r="BP208">
        <f>IF(ISBLANK(E208),0,ABS(E208-50))</f>
        <v>0</v>
      </c>
      <c r="BQ208" s="21" t="str">
        <f>IF(OR(ISBLANK(V208),ISBLANK(W208)),"",IF(SUM(V208,W208)=0,"",CONCATENATE(V208,"-",W208)))</f>
        <v/>
      </c>
      <c r="BR208" s="21" t="str">
        <f>IF(OR(AND(OR(AND(A208&gt;75,X208="Final Handicap"),AND(A208&gt;25,X208="1st half Handicap")),OR(AND(G208&gt;20,U208&lt;T208,E208&gt;45),AND(G208&lt;-20,U208&gt;T208,E208&lt;55))),AND(AND(A208-Y208&lt;200,A208-Y208&gt;9),OR(AND(A208&gt;75,X208="Final Handicap"),AND(A208&gt;25,X208="1st half Handicap")),OR(AND(AK208&gt;20,U208&lt;T208,E208&gt;45),AND(AK208&lt;-20,U208&gt;T208,E208&lt;55))),AND(AND(A208-AL208&lt;200,A208-AL208&gt;9),OR(AND(A208&gt;75,X208="Final Handicap"),AND(A208&gt;25,X208="1st half Handicap")),OR(AND(AX208&gt;20,U208&lt;T208,E208&gt;45),AND(AX208&lt;-20,U208&gt;T208,E208&lt;55))),AND(AND(A208-AY208&lt;200,A208-AY208&gt;9),OR(AND(A208&gt;75,X208="Final Handicap"),AND(A208&gt;25,X208="1st half Handicap")),OR(AND(BK208&gt;20,U208&lt;T208,E208&gt;45),AND(BK208&lt;-20,U208&gt;T208,E208&lt;55)))),"GOOD","")</f>
        <v/>
      </c>
      <c r="BS208" s="21"/>
    </row>
    <row r="209" spans="1:71" ht="17.25" x14ac:dyDescent="0.3">
      <c r="A209" s="3"/>
      <c r="D209" s="8" t="str">
        <f>IF(ISBLANK(T209),"",CONCATENATE(T209,"-",U209))</f>
        <v/>
      </c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>
        <f>IF(NOT(ISBLANK(G209)),ABS(G209),0)</f>
        <v>0</v>
      </c>
      <c r="BM209">
        <f>IF(NOT(ISBLANK(AK209)),ABS(AK209),0)</f>
        <v>0</v>
      </c>
      <c r="BN209">
        <f>IF(NOT(ISBLANK(AX209)),ABS(AX209),0)</f>
        <v>0</v>
      </c>
      <c r="BO209">
        <f>IF(NOT(ISBLANK(BK209)),ABS(BK209),0)</f>
        <v>0</v>
      </c>
      <c r="BP209">
        <f>IF(ISBLANK(E209),0,ABS(E209-50))</f>
        <v>0</v>
      </c>
      <c r="BQ209" s="21" t="str">
        <f>IF(OR(ISBLANK(V209),ISBLANK(W209)),"",IF(SUM(V209,W209)=0,"",CONCATENATE(V209,"-",W209)))</f>
        <v/>
      </c>
      <c r="BR209" s="21" t="str">
        <f>IF(OR(AND(OR(AND(A209&gt;75,X209="Final Handicap"),AND(A209&gt;25,X209="1st half Handicap")),OR(AND(G209&gt;20,U209&lt;T209,E209&gt;45),AND(G209&lt;-20,U209&gt;T209,E209&lt;55))),AND(AND(A209-Y209&lt;200,A209-Y209&gt;9),OR(AND(A209&gt;75,X209="Final Handicap"),AND(A209&gt;25,X209="1st half Handicap")),OR(AND(AK209&gt;20,U209&lt;T209,E209&gt;45),AND(AK209&lt;-20,U209&gt;T209,E209&lt;55))),AND(AND(A209-AL209&lt;200,A209-AL209&gt;9),OR(AND(A209&gt;75,X209="Final Handicap"),AND(A209&gt;25,X209="1st half Handicap")),OR(AND(AX209&gt;20,U209&lt;T209,E209&gt;45),AND(AX209&lt;-20,U209&gt;T209,E209&lt;55))),AND(AND(A209-AY209&lt;200,A209-AY209&gt;9),OR(AND(A209&gt;75,X209="Final Handicap"),AND(A209&gt;25,X209="1st half Handicap")),OR(AND(BK209&gt;20,U209&lt;T209,E209&gt;45),AND(BK209&lt;-20,U209&gt;T209,E209&lt;55)))),"GOOD","")</f>
        <v/>
      </c>
      <c r="BS209" s="21"/>
    </row>
    <row r="210" spans="1:71" ht="17.25" x14ac:dyDescent="0.3">
      <c r="A210" s="3"/>
      <c r="D210" s="8" t="str">
        <f>IF(ISBLANK(T210),"",CONCATENATE(T210,"-",U210))</f>
        <v/>
      </c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>
        <f>IF(NOT(ISBLANK(G210)),ABS(G210),0)</f>
        <v>0</v>
      </c>
      <c r="BM210">
        <f>IF(NOT(ISBLANK(AK210)),ABS(AK210),0)</f>
        <v>0</v>
      </c>
      <c r="BN210">
        <f>IF(NOT(ISBLANK(AX210)),ABS(AX210),0)</f>
        <v>0</v>
      </c>
      <c r="BO210">
        <f>IF(NOT(ISBLANK(BK210)),ABS(BK210),0)</f>
        <v>0</v>
      </c>
      <c r="BP210">
        <f>IF(ISBLANK(E210),0,ABS(E210-50))</f>
        <v>0</v>
      </c>
      <c r="BQ210" s="21" t="str">
        <f>IF(OR(ISBLANK(V210),ISBLANK(W210)),"",IF(SUM(V210,W210)=0,"",CONCATENATE(V210,"-",W210)))</f>
        <v/>
      </c>
      <c r="BR210" s="21" t="str">
        <f>IF(OR(AND(OR(AND(A210&gt;75,X210="Final Handicap"),AND(A210&gt;25,X210="1st half Handicap")),OR(AND(G210&gt;20,U210&lt;T210,E210&gt;45),AND(G210&lt;-20,U210&gt;T210,E210&lt;55))),AND(AND(A210-Y210&lt;200,A210-Y210&gt;9),OR(AND(A210&gt;75,X210="Final Handicap"),AND(A210&gt;25,X210="1st half Handicap")),OR(AND(AK210&gt;20,U210&lt;T210,E210&gt;45),AND(AK210&lt;-20,U210&gt;T210,E210&lt;55))),AND(AND(A210-AL210&lt;200,A210-AL210&gt;9),OR(AND(A210&gt;75,X210="Final Handicap"),AND(A210&gt;25,X210="1st half Handicap")),OR(AND(AX210&gt;20,U210&lt;T210,E210&gt;45),AND(AX210&lt;-20,U210&gt;T210,E210&lt;55))),AND(AND(A210-AY210&lt;200,A210-AY210&gt;9),OR(AND(A210&gt;75,X210="Final Handicap"),AND(A210&gt;25,X210="1st half Handicap")),OR(AND(BK210&gt;20,U210&lt;T210,E210&gt;45),AND(BK210&lt;-20,U210&gt;T210,E210&lt;55)))),"GOOD","")</f>
        <v/>
      </c>
      <c r="BS210" s="21"/>
    </row>
    <row r="211" spans="1:71" ht="17.25" x14ac:dyDescent="0.3">
      <c r="A211" s="3"/>
      <c r="D211" s="8" t="str">
        <f>IF(ISBLANK(T211),"",CONCATENATE(T211,"-",U211))</f>
        <v/>
      </c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>
        <f>IF(NOT(ISBLANK(G211)),ABS(G211),0)</f>
        <v>0</v>
      </c>
      <c r="BM211">
        <f>IF(NOT(ISBLANK(AK211)),ABS(AK211),0)</f>
        <v>0</v>
      </c>
      <c r="BN211">
        <f>IF(NOT(ISBLANK(AX211)),ABS(AX211),0)</f>
        <v>0</v>
      </c>
      <c r="BO211">
        <f>IF(NOT(ISBLANK(BK211)),ABS(BK211),0)</f>
        <v>0</v>
      </c>
      <c r="BP211">
        <f>IF(ISBLANK(E211),0,ABS(E211-50))</f>
        <v>0</v>
      </c>
      <c r="BQ211" s="21" t="str">
        <f>IF(OR(ISBLANK(V211),ISBLANK(W211)),"",IF(SUM(V211,W211)=0,"",CONCATENATE(V211,"-",W211)))</f>
        <v/>
      </c>
      <c r="BR211" s="21" t="str">
        <f>IF(OR(AND(OR(AND(A211&gt;75,X211="Final Handicap"),AND(A211&gt;25,X211="1st half Handicap")),OR(AND(G211&gt;20,U211&lt;T211,E211&gt;45),AND(G211&lt;-20,U211&gt;T211,E211&lt;55))),AND(AND(A211-Y211&lt;200,A211-Y211&gt;9),OR(AND(A211&gt;75,X211="Final Handicap"),AND(A211&gt;25,X211="1st half Handicap")),OR(AND(AK211&gt;20,U211&lt;T211,E211&gt;45),AND(AK211&lt;-20,U211&gt;T211,E211&lt;55))),AND(AND(A211-AL211&lt;200,A211-AL211&gt;9),OR(AND(A211&gt;75,X211="Final Handicap"),AND(A211&gt;25,X211="1st half Handicap")),OR(AND(AX211&gt;20,U211&lt;T211,E211&gt;45),AND(AX211&lt;-20,U211&gt;T211,E211&lt;55))),AND(AND(A211-AY211&lt;200,A211-AY211&gt;9),OR(AND(A211&gt;75,X211="Final Handicap"),AND(A211&gt;25,X211="1st half Handicap")),OR(AND(BK211&gt;20,U211&lt;T211,E211&gt;45),AND(BK211&lt;-20,U211&gt;T211,E211&lt;55)))),"GOOD","")</f>
        <v/>
      </c>
      <c r="BS211" s="21"/>
    </row>
    <row r="212" spans="1:71" ht="17.25" x14ac:dyDescent="0.3">
      <c r="A212" s="3"/>
      <c r="D212" s="8" t="str">
        <f>IF(ISBLANK(T212),"",CONCATENATE(T212,"-",U212))</f>
        <v/>
      </c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>
        <f>IF(NOT(ISBLANK(G212)),ABS(G212),0)</f>
        <v>0</v>
      </c>
      <c r="BM212">
        <f>IF(NOT(ISBLANK(AK212)),ABS(AK212),0)</f>
        <v>0</v>
      </c>
      <c r="BN212">
        <f>IF(NOT(ISBLANK(AX212)),ABS(AX212),0)</f>
        <v>0</v>
      </c>
      <c r="BO212">
        <f>IF(NOT(ISBLANK(BK212)),ABS(BK212),0)</f>
        <v>0</v>
      </c>
      <c r="BP212">
        <f>IF(ISBLANK(E212),0,ABS(E212-50))</f>
        <v>0</v>
      </c>
      <c r="BQ212" s="21" t="str">
        <f>IF(OR(ISBLANK(V212),ISBLANK(W212)),"",IF(SUM(V212,W212)=0,"",CONCATENATE(V212,"-",W212)))</f>
        <v/>
      </c>
      <c r="BR212" s="21" t="str">
        <f>IF(OR(AND(OR(AND(A212&gt;75,X212="Final Handicap"),AND(A212&gt;25,X212="1st half Handicap")),OR(AND(G212&gt;20,U212&lt;T212,E212&gt;45),AND(G212&lt;-20,U212&gt;T212,E212&lt;55))),AND(AND(A212-Y212&lt;200,A212-Y212&gt;9),OR(AND(A212&gt;75,X212="Final Handicap"),AND(A212&gt;25,X212="1st half Handicap")),OR(AND(AK212&gt;20,U212&lt;T212,E212&gt;45),AND(AK212&lt;-20,U212&gt;T212,E212&lt;55))),AND(AND(A212-AL212&lt;200,A212-AL212&gt;9),OR(AND(A212&gt;75,X212="Final Handicap"),AND(A212&gt;25,X212="1st half Handicap")),OR(AND(AX212&gt;20,U212&lt;T212,E212&gt;45),AND(AX212&lt;-20,U212&gt;T212,E212&lt;55))),AND(AND(A212-AY212&lt;200,A212-AY212&gt;9),OR(AND(A212&gt;75,X212="Final Handicap"),AND(A212&gt;25,X212="1st half Handicap")),OR(AND(BK212&gt;20,U212&lt;T212,E212&gt;45),AND(BK212&lt;-20,U212&gt;T212,E212&lt;55)))),"GOOD","")</f>
        <v/>
      </c>
      <c r="BS212" s="21"/>
    </row>
    <row r="213" spans="1:71" ht="17.25" x14ac:dyDescent="0.3">
      <c r="A213" s="3"/>
      <c r="D213" s="8" t="str">
        <f>IF(ISBLANK(T213),"",CONCATENATE(T213,"-",U213))</f>
        <v/>
      </c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>
        <f>IF(NOT(ISBLANK(G213)),ABS(G213),0)</f>
        <v>0</v>
      </c>
      <c r="BM213">
        <f>IF(NOT(ISBLANK(AK213)),ABS(AK213),0)</f>
        <v>0</v>
      </c>
      <c r="BN213">
        <f>IF(NOT(ISBLANK(AX213)),ABS(AX213),0)</f>
        <v>0</v>
      </c>
      <c r="BO213">
        <f>IF(NOT(ISBLANK(BK213)),ABS(BK213),0)</f>
        <v>0</v>
      </c>
      <c r="BP213">
        <f>IF(ISBLANK(E213),0,ABS(E213-50))</f>
        <v>0</v>
      </c>
      <c r="BQ213" s="21" t="str">
        <f>IF(OR(ISBLANK(V213),ISBLANK(W213)),"",IF(SUM(V213,W213)=0,"",CONCATENATE(V213,"-",W213)))</f>
        <v/>
      </c>
      <c r="BR213" s="21" t="str">
        <f>IF(OR(AND(OR(AND(A213&gt;75,X213="Final Handicap"),AND(A213&gt;25,X213="1st half Handicap")),OR(AND(G213&gt;20,U213&lt;T213,E213&gt;45),AND(G213&lt;-20,U213&gt;T213,E213&lt;55))),AND(AND(A213-Y213&lt;200,A213-Y213&gt;9),OR(AND(A213&gt;75,X213="Final Handicap"),AND(A213&gt;25,X213="1st half Handicap")),OR(AND(AK213&gt;20,U213&lt;T213,E213&gt;45),AND(AK213&lt;-20,U213&gt;T213,E213&lt;55))),AND(AND(A213-AL213&lt;200,A213-AL213&gt;9),OR(AND(A213&gt;75,X213="Final Handicap"),AND(A213&gt;25,X213="1st half Handicap")),OR(AND(AX213&gt;20,U213&lt;T213,E213&gt;45),AND(AX213&lt;-20,U213&gt;T213,E213&lt;55))),AND(AND(A213-AY213&lt;200,A213-AY213&gt;9),OR(AND(A213&gt;75,X213="Final Handicap"),AND(A213&gt;25,X213="1st half Handicap")),OR(AND(BK213&gt;20,U213&lt;T213,E213&gt;45),AND(BK213&lt;-20,U213&gt;T213,E213&lt;55)))),"GOOD","")</f>
        <v/>
      </c>
      <c r="BS213" s="21"/>
    </row>
    <row r="214" spans="1:71" ht="17.25" x14ac:dyDescent="0.3">
      <c r="A214" s="3"/>
      <c r="D214" s="8" t="str">
        <f>IF(ISBLANK(T214),"",CONCATENATE(T214,"-",U214))</f>
        <v/>
      </c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>
        <f>IF(NOT(ISBLANK(G214)),ABS(G214),0)</f>
        <v>0</v>
      </c>
      <c r="BM214">
        <f>IF(NOT(ISBLANK(AK214)),ABS(AK214),0)</f>
        <v>0</v>
      </c>
      <c r="BN214">
        <f>IF(NOT(ISBLANK(AX214)),ABS(AX214),0)</f>
        <v>0</v>
      </c>
      <c r="BO214">
        <f>IF(NOT(ISBLANK(BK214)),ABS(BK214),0)</f>
        <v>0</v>
      </c>
      <c r="BP214">
        <f>IF(ISBLANK(E214),0,ABS(E214-50))</f>
        <v>0</v>
      </c>
      <c r="BQ214" s="21" t="str">
        <f>IF(OR(ISBLANK(V214),ISBLANK(W214)),"",IF(SUM(V214,W214)=0,"",CONCATENATE(V214,"-",W214)))</f>
        <v/>
      </c>
      <c r="BR214" s="21" t="str">
        <f>IF(OR(AND(OR(AND(A214&gt;75,X214="Final Handicap"),AND(A214&gt;25,X214="1st half Handicap")),OR(AND(G214&gt;20,U214&lt;T214,E214&gt;45),AND(G214&lt;-20,U214&gt;T214,E214&lt;55))),AND(AND(A214-Y214&lt;200,A214-Y214&gt;9),OR(AND(A214&gt;75,X214="Final Handicap"),AND(A214&gt;25,X214="1st half Handicap")),OR(AND(AK214&gt;20,U214&lt;T214,E214&gt;45),AND(AK214&lt;-20,U214&gt;T214,E214&lt;55))),AND(AND(A214-AL214&lt;200,A214-AL214&gt;9),OR(AND(A214&gt;75,X214="Final Handicap"),AND(A214&gt;25,X214="1st half Handicap")),OR(AND(AX214&gt;20,U214&lt;T214,E214&gt;45),AND(AX214&lt;-20,U214&gt;T214,E214&lt;55))),AND(AND(A214-AY214&lt;200,A214-AY214&gt;9),OR(AND(A214&gt;75,X214="Final Handicap"),AND(A214&gt;25,X214="1st half Handicap")),OR(AND(BK214&gt;20,U214&lt;T214,E214&gt;45),AND(BK214&lt;-20,U214&gt;T214,E214&lt;55)))),"GOOD","")</f>
        <v/>
      </c>
      <c r="BS214" s="21"/>
    </row>
    <row r="215" spans="1:71" ht="17.25" x14ac:dyDescent="0.3">
      <c r="A215" s="3"/>
      <c r="D215" s="8" t="str">
        <f>IF(ISBLANK(T215),"",CONCATENATE(T215,"-",U215))</f>
        <v/>
      </c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>
        <f>IF(NOT(ISBLANK(G215)),ABS(G215),0)</f>
        <v>0</v>
      </c>
      <c r="BM215">
        <f>IF(NOT(ISBLANK(AK215)),ABS(AK215),0)</f>
        <v>0</v>
      </c>
      <c r="BN215">
        <f>IF(NOT(ISBLANK(AX215)),ABS(AX215),0)</f>
        <v>0</v>
      </c>
      <c r="BO215">
        <f>IF(NOT(ISBLANK(BK215)),ABS(BK215),0)</f>
        <v>0</v>
      </c>
      <c r="BP215">
        <f>IF(ISBLANK(E215),0,ABS(E215-50))</f>
        <v>0</v>
      </c>
      <c r="BQ215" s="21" t="str">
        <f>IF(OR(ISBLANK(V215),ISBLANK(W215)),"",IF(SUM(V215,W215)=0,"",CONCATENATE(V215,"-",W215)))</f>
        <v/>
      </c>
      <c r="BR215" s="21" t="str">
        <f>IF(OR(AND(OR(AND(A215&gt;75,X215="Final Handicap"),AND(A215&gt;25,X215="1st half Handicap")),OR(AND(G215&gt;20,U215&lt;T215,E215&gt;45),AND(G215&lt;-20,U215&gt;T215,E215&lt;55))),AND(AND(A215-Y215&lt;200,A215-Y215&gt;9),OR(AND(A215&gt;75,X215="Final Handicap"),AND(A215&gt;25,X215="1st half Handicap")),OR(AND(AK215&gt;20,U215&lt;T215,E215&gt;45),AND(AK215&lt;-20,U215&gt;T215,E215&lt;55))),AND(AND(A215-AL215&lt;200,A215-AL215&gt;9),OR(AND(A215&gt;75,X215="Final Handicap"),AND(A215&gt;25,X215="1st half Handicap")),OR(AND(AX215&gt;20,U215&lt;T215,E215&gt;45),AND(AX215&lt;-20,U215&gt;T215,E215&lt;55))),AND(AND(A215-AY215&lt;200,A215-AY215&gt;9),OR(AND(A215&gt;75,X215="Final Handicap"),AND(A215&gt;25,X215="1st half Handicap")),OR(AND(BK215&gt;20,U215&lt;T215,E215&gt;45),AND(BK215&lt;-20,U215&gt;T215,E215&lt;55)))),"GOOD","")</f>
        <v/>
      </c>
      <c r="BS215" s="21"/>
    </row>
    <row r="216" spans="1:71" ht="17.25" x14ac:dyDescent="0.3">
      <c r="A216" s="3"/>
      <c r="D216" s="8" t="str">
        <f>IF(ISBLANK(T216),"",CONCATENATE(T216,"-",U216))</f>
        <v/>
      </c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>
        <f>IF(NOT(ISBLANK(G216)),ABS(G216),0)</f>
        <v>0</v>
      </c>
      <c r="BM216">
        <f>IF(NOT(ISBLANK(AK216)),ABS(AK216),0)</f>
        <v>0</v>
      </c>
      <c r="BN216">
        <f>IF(NOT(ISBLANK(AX216)),ABS(AX216),0)</f>
        <v>0</v>
      </c>
      <c r="BO216">
        <f>IF(NOT(ISBLANK(BK216)),ABS(BK216),0)</f>
        <v>0</v>
      </c>
      <c r="BP216">
        <f>IF(ISBLANK(E216),0,ABS(E216-50))</f>
        <v>0</v>
      </c>
      <c r="BQ216" s="21" t="str">
        <f>IF(OR(ISBLANK(V216),ISBLANK(W216)),"",IF(SUM(V216,W216)=0,"",CONCATENATE(V216,"-",W216)))</f>
        <v/>
      </c>
      <c r="BR216" s="21" t="str">
        <f>IF(OR(AND(OR(AND(A216&gt;75,X216="Final Handicap"),AND(A216&gt;25,X216="1st half Handicap")),OR(AND(G216&gt;20,U216&lt;T216,E216&gt;45),AND(G216&lt;-20,U216&gt;T216,E216&lt;55))),AND(AND(A216-Y216&lt;200,A216-Y216&gt;9),OR(AND(A216&gt;75,X216="Final Handicap"),AND(A216&gt;25,X216="1st half Handicap")),OR(AND(AK216&gt;20,U216&lt;T216,E216&gt;45),AND(AK216&lt;-20,U216&gt;T216,E216&lt;55))),AND(AND(A216-AL216&lt;200,A216-AL216&gt;9),OR(AND(A216&gt;75,X216="Final Handicap"),AND(A216&gt;25,X216="1st half Handicap")),OR(AND(AX216&gt;20,U216&lt;T216,E216&gt;45),AND(AX216&lt;-20,U216&gt;T216,E216&lt;55))),AND(AND(A216-AY216&lt;200,A216-AY216&gt;9),OR(AND(A216&gt;75,X216="Final Handicap"),AND(A216&gt;25,X216="1st half Handicap")),OR(AND(BK216&gt;20,U216&lt;T216,E216&gt;45),AND(BK216&lt;-20,U216&gt;T216,E216&lt;55)))),"GOOD","")</f>
        <v/>
      </c>
      <c r="BS216" s="21"/>
    </row>
    <row r="217" spans="1:71" ht="17.25" x14ac:dyDescent="0.3">
      <c r="A217" s="3"/>
      <c r="D217" s="8" t="str">
        <f>IF(ISBLANK(T217),"",CONCATENATE(T217,"-",U217))</f>
        <v/>
      </c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>
        <f>IF(NOT(ISBLANK(G217)),ABS(G217),0)</f>
        <v>0</v>
      </c>
      <c r="BM217">
        <f>IF(NOT(ISBLANK(AK217)),ABS(AK217),0)</f>
        <v>0</v>
      </c>
      <c r="BN217">
        <f>IF(NOT(ISBLANK(AX217)),ABS(AX217),0)</f>
        <v>0</v>
      </c>
      <c r="BO217">
        <f>IF(NOT(ISBLANK(BK217)),ABS(BK217),0)</f>
        <v>0</v>
      </c>
      <c r="BP217">
        <f>IF(ISBLANK(E217),0,ABS(E217-50))</f>
        <v>0</v>
      </c>
      <c r="BQ217" s="21" t="str">
        <f>IF(OR(ISBLANK(V217),ISBLANK(W217)),"",IF(SUM(V217,W217)=0,"",CONCATENATE(V217,"-",W217)))</f>
        <v/>
      </c>
      <c r="BR217" s="21" t="str">
        <f>IF(OR(AND(OR(AND(A217&gt;75,X217="Final Handicap"),AND(A217&gt;25,X217="1st half Handicap")),OR(AND(G217&gt;20,U217&lt;T217,E217&gt;45),AND(G217&lt;-20,U217&gt;T217,E217&lt;55))),AND(AND(A217-Y217&lt;200,A217-Y217&gt;9),OR(AND(A217&gt;75,X217="Final Handicap"),AND(A217&gt;25,X217="1st half Handicap")),OR(AND(AK217&gt;20,U217&lt;T217,E217&gt;45),AND(AK217&lt;-20,U217&gt;T217,E217&lt;55))),AND(AND(A217-AL217&lt;200,A217-AL217&gt;9),OR(AND(A217&gt;75,X217="Final Handicap"),AND(A217&gt;25,X217="1st half Handicap")),OR(AND(AX217&gt;20,U217&lt;T217,E217&gt;45),AND(AX217&lt;-20,U217&gt;T217,E217&lt;55))),AND(AND(A217-AY217&lt;200,A217-AY217&gt;9),OR(AND(A217&gt;75,X217="Final Handicap"),AND(A217&gt;25,X217="1st half Handicap")),OR(AND(BK217&gt;20,U217&lt;T217,E217&gt;45),AND(BK217&lt;-20,U217&gt;T217,E217&lt;55)))),"GOOD","")</f>
        <v/>
      </c>
      <c r="BS217" s="21"/>
    </row>
    <row r="218" spans="1:71" ht="17.25" x14ac:dyDescent="0.3">
      <c r="A218" s="3"/>
      <c r="D218" s="8" t="str">
        <f>IF(ISBLANK(T218),"",CONCATENATE(T218,"-",U218))</f>
        <v/>
      </c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>
        <f>IF(NOT(ISBLANK(G218)),ABS(G218),0)</f>
        <v>0</v>
      </c>
      <c r="BM218">
        <f>IF(NOT(ISBLANK(AK218)),ABS(AK218),0)</f>
        <v>0</v>
      </c>
      <c r="BN218">
        <f>IF(NOT(ISBLANK(AX218)),ABS(AX218),0)</f>
        <v>0</v>
      </c>
      <c r="BO218">
        <f>IF(NOT(ISBLANK(BK218)),ABS(BK218),0)</f>
        <v>0</v>
      </c>
      <c r="BP218">
        <f>IF(ISBLANK(E218),0,ABS(E218-50))</f>
        <v>0</v>
      </c>
      <c r="BQ218" s="21" t="str">
        <f>IF(OR(ISBLANK(V218),ISBLANK(W218)),"",IF(SUM(V218,W218)=0,"",CONCATENATE(V218,"-",W218)))</f>
        <v/>
      </c>
      <c r="BR218" s="21" t="str">
        <f>IF(OR(AND(OR(AND(A218&gt;75,X218="Final Handicap"),AND(A218&gt;25,X218="1st half Handicap")),OR(AND(G218&gt;20,U218&lt;T218,E218&gt;45),AND(G218&lt;-20,U218&gt;T218,E218&lt;55))),AND(AND(A218-Y218&lt;200,A218-Y218&gt;9),OR(AND(A218&gt;75,X218="Final Handicap"),AND(A218&gt;25,X218="1st half Handicap")),OR(AND(AK218&gt;20,U218&lt;T218,E218&gt;45),AND(AK218&lt;-20,U218&gt;T218,E218&lt;55))),AND(AND(A218-AL218&lt;200,A218-AL218&gt;9),OR(AND(A218&gt;75,X218="Final Handicap"),AND(A218&gt;25,X218="1st half Handicap")),OR(AND(AX218&gt;20,U218&lt;T218,E218&gt;45),AND(AX218&lt;-20,U218&gt;T218,E218&lt;55))),AND(AND(A218-AY218&lt;200,A218-AY218&gt;9),OR(AND(A218&gt;75,X218="Final Handicap"),AND(A218&gt;25,X218="1st half Handicap")),OR(AND(BK218&gt;20,U218&lt;T218,E218&gt;45),AND(BK218&lt;-20,U218&gt;T218,E218&lt;55)))),"GOOD","")</f>
        <v/>
      </c>
      <c r="BS218" s="21"/>
    </row>
    <row r="219" spans="1:71" ht="17.25" x14ac:dyDescent="0.3">
      <c r="A219" s="3"/>
      <c r="D219" s="8" t="str">
        <f>IF(ISBLANK(T219),"",CONCATENATE(T219,"-",U219))</f>
        <v/>
      </c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>
        <f>IF(NOT(ISBLANK(G219)),ABS(G219),0)</f>
        <v>0</v>
      </c>
      <c r="BM219">
        <f>IF(NOT(ISBLANK(AK219)),ABS(AK219),0)</f>
        <v>0</v>
      </c>
      <c r="BN219">
        <f>IF(NOT(ISBLANK(AX219)),ABS(AX219),0)</f>
        <v>0</v>
      </c>
      <c r="BO219">
        <f>IF(NOT(ISBLANK(BK219)),ABS(BK219),0)</f>
        <v>0</v>
      </c>
      <c r="BP219">
        <f>IF(ISBLANK(E219),0,ABS(E219-50))</f>
        <v>0</v>
      </c>
      <c r="BQ219" s="21" t="str">
        <f>IF(OR(ISBLANK(V219),ISBLANK(W219)),"",IF(SUM(V219,W219)=0,"",CONCATENATE(V219,"-",W219)))</f>
        <v/>
      </c>
      <c r="BR219" s="21" t="str">
        <f>IF(OR(AND(OR(AND(A219&gt;75,X219="Final Handicap"),AND(A219&gt;25,X219="1st half Handicap")),OR(AND(G219&gt;20,U219&lt;T219,E219&gt;45),AND(G219&lt;-20,U219&gt;T219,E219&lt;55))),AND(AND(A219-Y219&lt;200,A219-Y219&gt;9),OR(AND(A219&gt;75,X219="Final Handicap"),AND(A219&gt;25,X219="1st half Handicap")),OR(AND(AK219&gt;20,U219&lt;T219,E219&gt;45),AND(AK219&lt;-20,U219&gt;T219,E219&lt;55))),AND(AND(A219-AL219&lt;200,A219-AL219&gt;9),OR(AND(A219&gt;75,X219="Final Handicap"),AND(A219&gt;25,X219="1st half Handicap")),OR(AND(AX219&gt;20,U219&lt;T219,E219&gt;45),AND(AX219&lt;-20,U219&gt;T219,E219&lt;55))),AND(AND(A219-AY219&lt;200,A219-AY219&gt;9),OR(AND(A219&gt;75,X219="Final Handicap"),AND(A219&gt;25,X219="1st half Handicap")),OR(AND(BK219&gt;20,U219&lt;T219,E219&gt;45),AND(BK219&lt;-20,U219&gt;T219,E219&lt;55)))),"GOOD","")</f>
        <v/>
      </c>
      <c r="BS219" s="21"/>
    </row>
    <row r="220" spans="1:71" ht="17.25" x14ac:dyDescent="0.3">
      <c r="A220" s="3"/>
      <c r="D220" s="8" t="str">
        <f>IF(ISBLANK(T220),"",CONCATENATE(T220,"-",U220))</f>
        <v/>
      </c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>
        <f>IF(NOT(ISBLANK(G220)),ABS(G220),0)</f>
        <v>0</v>
      </c>
      <c r="BM220">
        <f>IF(NOT(ISBLANK(AK220)),ABS(AK220),0)</f>
        <v>0</v>
      </c>
      <c r="BN220">
        <f>IF(NOT(ISBLANK(AX220)),ABS(AX220),0)</f>
        <v>0</v>
      </c>
      <c r="BO220">
        <f>IF(NOT(ISBLANK(BK220)),ABS(BK220),0)</f>
        <v>0</v>
      </c>
      <c r="BP220">
        <f>IF(ISBLANK(E220),0,ABS(E220-50))</f>
        <v>0</v>
      </c>
      <c r="BQ220" s="21" t="str">
        <f>IF(OR(ISBLANK(V220),ISBLANK(W220)),"",IF(SUM(V220,W220)=0,"",CONCATENATE(V220,"-",W220)))</f>
        <v/>
      </c>
      <c r="BR220" s="21" t="str">
        <f>IF(OR(AND(OR(AND(A220&gt;75,X220="Final Handicap"),AND(A220&gt;25,X220="1st half Handicap")),OR(AND(G220&gt;20,U220&lt;T220,E220&gt;45),AND(G220&lt;-20,U220&gt;T220,E220&lt;55))),AND(AND(A220-Y220&lt;200,A220-Y220&gt;9),OR(AND(A220&gt;75,X220="Final Handicap"),AND(A220&gt;25,X220="1st half Handicap")),OR(AND(AK220&gt;20,U220&lt;T220,E220&gt;45),AND(AK220&lt;-20,U220&gt;T220,E220&lt;55))),AND(AND(A220-AL220&lt;200,A220-AL220&gt;9),OR(AND(A220&gt;75,X220="Final Handicap"),AND(A220&gt;25,X220="1st half Handicap")),OR(AND(AX220&gt;20,U220&lt;T220,E220&gt;45),AND(AX220&lt;-20,U220&gt;T220,E220&lt;55))),AND(AND(A220-AY220&lt;200,A220-AY220&gt;9),OR(AND(A220&gt;75,X220="Final Handicap"),AND(A220&gt;25,X220="1st half Handicap")),OR(AND(BK220&gt;20,U220&lt;T220,E220&gt;45),AND(BK220&lt;-20,U220&gt;T220,E220&lt;55)))),"GOOD","")</f>
        <v/>
      </c>
      <c r="BS220" s="21"/>
    </row>
    <row r="221" spans="1:71" ht="17.25" x14ac:dyDescent="0.3">
      <c r="A221" s="3"/>
      <c r="D221" s="8" t="str">
        <f>IF(ISBLANK(T221),"",CONCATENATE(T221,"-",U221))</f>
        <v/>
      </c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>
        <f>IF(NOT(ISBLANK(G221)),ABS(G221),0)</f>
        <v>0</v>
      </c>
      <c r="BM221">
        <f>IF(NOT(ISBLANK(AK221)),ABS(AK221),0)</f>
        <v>0</v>
      </c>
      <c r="BN221">
        <f>IF(NOT(ISBLANK(AX221)),ABS(AX221),0)</f>
        <v>0</v>
      </c>
      <c r="BO221">
        <f>IF(NOT(ISBLANK(BK221)),ABS(BK221),0)</f>
        <v>0</v>
      </c>
      <c r="BP221">
        <f>IF(ISBLANK(E221),0,ABS(E221-50))</f>
        <v>0</v>
      </c>
      <c r="BQ221" s="21" t="str">
        <f>IF(OR(ISBLANK(V221),ISBLANK(W221)),"",IF(SUM(V221,W221)=0,"",CONCATENATE(V221,"-",W221)))</f>
        <v/>
      </c>
      <c r="BR221" s="21" t="str">
        <f>IF(OR(AND(OR(AND(A221&gt;75,X221="Final Handicap"),AND(A221&gt;25,X221="1st half Handicap")),OR(AND(G221&gt;20,U221&lt;T221,E221&gt;45),AND(G221&lt;-20,U221&gt;T221,E221&lt;55))),AND(AND(A221-Y221&lt;200,A221-Y221&gt;9),OR(AND(A221&gt;75,X221="Final Handicap"),AND(A221&gt;25,X221="1st half Handicap")),OR(AND(AK221&gt;20,U221&lt;T221,E221&gt;45),AND(AK221&lt;-20,U221&gt;T221,E221&lt;55))),AND(AND(A221-AL221&lt;200,A221-AL221&gt;9),OR(AND(A221&gt;75,X221="Final Handicap"),AND(A221&gt;25,X221="1st half Handicap")),OR(AND(AX221&gt;20,U221&lt;T221,E221&gt;45),AND(AX221&lt;-20,U221&gt;T221,E221&lt;55))),AND(AND(A221-AY221&lt;200,A221-AY221&gt;9),OR(AND(A221&gt;75,X221="Final Handicap"),AND(A221&gt;25,X221="1st half Handicap")),OR(AND(BK221&gt;20,U221&lt;T221,E221&gt;45),AND(BK221&lt;-20,U221&gt;T221,E221&lt;55)))),"GOOD","")</f>
        <v/>
      </c>
      <c r="BS221" s="21"/>
    </row>
    <row r="222" spans="1:71" ht="17.25" x14ac:dyDescent="0.3">
      <c r="A222" s="3"/>
      <c r="D222" s="8" t="str">
        <f>IF(ISBLANK(T222),"",CONCATENATE(T222,"-",U222))</f>
        <v/>
      </c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>
        <f>IF(NOT(ISBLANK(G222)),ABS(G222),0)</f>
        <v>0</v>
      </c>
      <c r="BM222">
        <f>IF(NOT(ISBLANK(AK222)),ABS(AK222),0)</f>
        <v>0</v>
      </c>
      <c r="BN222">
        <f>IF(NOT(ISBLANK(AX222)),ABS(AX222),0)</f>
        <v>0</v>
      </c>
      <c r="BO222">
        <f>IF(NOT(ISBLANK(BK222)),ABS(BK222),0)</f>
        <v>0</v>
      </c>
      <c r="BP222">
        <f>IF(ISBLANK(E222),0,ABS(E222-50))</f>
        <v>0</v>
      </c>
      <c r="BQ222" s="21" t="str">
        <f>IF(OR(ISBLANK(V222),ISBLANK(W222)),"",IF(SUM(V222,W222)=0,"",CONCATENATE(V222,"-",W222)))</f>
        <v/>
      </c>
      <c r="BR222" s="21" t="str">
        <f>IF(OR(AND(OR(AND(A222&gt;75,X222="Final Handicap"),AND(A222&gt;25,X222="1st half Handicap")),OR(AND(G222&gt;20,U222&lt;T222,E222&gt;45),AND(G222&lt;-20,U222&gt;T222,E222&lt;55))),AND(AND(A222-Y222&lt;200,A222-Y222&gt;9),OR(AND(A222&gt;75,X222="Final Handicap"),AND(A222&gt;25,X222="1st half Handicap")),OR(AND(AK222&gt;20,U222&lt;T222,E222&gt;45),AND(AK222&lt;-20,U222&gt;T222,E222&lt;55))),AND(AND(A222-AL222&lt;200,A222-AL222&gt;9),OR(AND(A222&gt;75,X222="Final Handicap"),AND(A222&gt;25,X222="1st half Handicap")),OR(AND(AX222&gt;20,U222&lt;T222,E222&gt;45),AND(AX222&lt;-20,U222&gt;T222,E222&lt;55))),AND(AND(A222-AY222&lt;200,A222-AY222&gt;9),OR(AND(A222&gt;75,X222="Final Handicap"),AND(A222&gt;25,X222="1st half Handicap")),OR(AND(BK222&gt;20,U222&lt;T222,E222&gt;45),AND(BK222&lt;-20,U222&gt;T222,E222&lt;55)))),"GOOD","")</f>
        <v/>
      </c>
      <c r="BS222" s="21"/>
    </row>
    <row r="223" spans="1:71" ht="17.25" x14ac:dyDescent="0.3">
      <c r="A223" s="3"/>
      <c r="D223" s="8" t="str">
        <f>IF(ISBLANK(T223),"",CONCATENATE(T223,"-",U223))</f>
        <v/>
      </c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>
        <f>IF(NOT(ISBLANK(G223)),ABS(G223),0)</f>
        <v>0</v>
      </c>
      <c r="BM223">
        <f>IF(NOT(ISBLANK(AK223)),ABS(AK223),0)</f>
        <v>0</v>
      </c>
      <c r="BN223">
        <f>IF(NOT(ISBLANK(AX223)),ABS(AX223),0)</f>
        <v>0</v>
      </c>
      <c r="BO223">
        <f>IF(NOT(ISBLANK(BK223)),ABS(BK223),0)</f>
        <v>0</v>
      </c>
      <c r="BP223">
        <f>IF(ISBLANK(E223),0,ABS(E223-50))</f>
        <v>0</v>
      </c>
      <c r="BQ223" s="21" t="str">
        <f>IF(OR(ISBLANK(V223),ISBLANK(W223)),"",IF(SUM(V223,W223)=0,"",CONCATENATE(V223,"-",W223)))</f>
        <v/>
      </c>
      <c r="BR223" s="21" t="str">
        <f>IF(OR(AND(OR(AND(A223&gt;75,X223="Final Handicap"),AND(A223&gt;25,X223="1st half Handicap")),OR(AND(G223&gt;20,U223&lt;T223,E223&gt;45),AND(G223&lt;-20,U223&gt;T223,E223&lt;55))),AND(AND(A223-Y223&lt;200,A223-Y223&gt;9),OR(AND(A223&gt;75,X223="Final Handicap"),AND(A223&gt;25,X223="1st half Handicap")),OR(AND(AK223&gt;20,U223&lt;T223,E223&gt;45),AND(AK223&lt;-20,U223&gt;T223,E223&lt;55))),AND(AND(A223-AL223&lt;200,A223-AL223&gt;9),OR(AND(A223&gt;75,X223="Final Handicap"),AND(A223&gt;25,X223="1st half Handicap")),OR(AND(AX223&gt;20,U223&lt;T223,E223&gt;45),AND(AX223&lt;-20,U223&gt;T223,E223&lt;55))),AND(AND(A223-AY223&lt;200,A223-AY223&gt;9),OR(AND(A223&gt;75,X223="Final Handicap"),AND(A223&gt;25,X223="1st half Handicap")),OR(AND(BK223&gt;20,U223&lt;T223,E223&gt;45),AND(BK223&lt;-20,U223&gt;T223,E223&lt;55)))),"GOOD","")</f>
        <v/>
      </c>
      <c r="BS223" s="21"/>
    </row>
    <row r="224" spans="1:71" ht="17.25" x14ac:dyDescent="0.3">
      <c r="A224" s="3"/>
      <c r="D224" s="8" t="str">
        <f>IF(ISBLANK(T224),"",CONCATENATE(T224,"-",U224))</f>
        <v/>
      </c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>
        <f>IF(NOT(ISBLANK(G224)),ABS(G224),0)</f>
        <v>0</v>
      </c>
      <c r="BM224">
        <f>IF(NOT(ISBLANK(AK224)),ABS(AK224),0)</f>
        <v>0</v>
      </c>
      <c r="BN224">
        <f>IF(NOT(ISBLANK(AX224)),ABS(AX224),0)</f>
        <v>0</v>
      </c>
      <c r="BO224">
        <f>IF(NOT(ISBLANK(BK224)),ABS(BK224),0)</f>
        <v>0</v>
      </c>
      <c r="BP224">
        <f>IF(ISBLANK(E224),0,ABS(E224-50))</f>
        <v>0</v>
      </c>
      <c r="BQ224" s="21" t="str">
        <f>IF(OR(ISBLANK(V224),ISBLANK(W224)),"",IF(SUM(V224,W224)=0,"",CONCATENATE(V224,"-",W224)))</f>
        <v/>
      </c>
      <c r="BR224" s="21" t="str">
        <f>IF(OR(AND(OR(AND(A224&gt;75,X224="Final Handicap"),AND(A224&gt;25,X224="1st half Handicap")),OR(AND(G224&gt;20,U224&lt;T224,E224&gt;45),AND(G224&lt;-20,U224&gt;T224,E224&lt;55))),AND(AND(A224-Y224&lt;200,A224-Y224&gt;9),OR(AND(A224&gt;75,X224="Final Handicap"),AND(A224&gt;25,X224="1st half Handicap")),OR(AND(AK224&gt;20,U224&lt;T224,E224&gt;45),AND(AK224&lt;-20,U224&gt;T224,E224&lt;55))),AND(AND(A224-AL224&lt;200,A224-AL224&gt;9),OR(AND(A224&gt;75,X224="Final Handicap"),AND(A224&gt;25,X224="1st half Handicap")),OR(AND(AX224&gt;20,U224&lt;T224,E224&gt;45),AND(AX224&lt;-20,U224&gt;T224,E224&lt;55))),AND(AND(A224-AY224&lt;200,A224-AY224&gt;9),OR(AND(A224&gt;75,X224="Final Handicap"),AND(A224&gt;25,X224="1st half Handicap")),OR(AND(BK224&gt;20,U224&lt;T224,E224&gt;45),AND(BK224&lt;-20,U224&gt;T224,E224&lt;55)))),"GOOD","")</f>
        <v/>
      </c>
      <c r="BS224" s="21"/>
    </row>
    <row r="225" spans="1:71" ht="17.25" x14ac:dyDescent="0.3">
      <c r="A225" s="3"/>
      <c r="D225" s="8" t="str">
        <f>IF(ISBLANK(T225),"",CONCATENATE(T225,"-",U225))</f>
        <v/>
      </c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>
        <f>IF(NOT(ISBLANK(G225)),ABS(G225),0)</f>
        <v>0</v>
      </c>
      <c r="BM225">
        <f>IF(NOT(ISBLANK(AK225)),ABS(AK225),0)</f>
        <v>0</v>
      </c>
      <c r="BN225">
        <f>IF(NOT(ISBLANK(AX225)),ABS(AX225),0)</f>
        <v>0</v>
      </c>
      <c r="BO225">
        <f>IF(NOT(ISBLANK(BK225)),ABS(BK225),0)</f>
        <v>0</v>
      </c>
      <c r="BP225">
        <f>IF(ISBLANK(E225),0,ABS(E225-50))</f>
        <v>0</v>
      </c>
      <c r="BQ225" s="21" t="str">
        <f>IF(OR(ISBLANK(V225),ISBLANK(W225)),"",IF(SUM(V225,W225)=0,"",CONCATENATE(V225,"-",W225)))</f>
        <v/>
      </c>
      <c r="BR225" s="21" t="str">
        <f>IF(OR(AND(OR(AND(A225&gt;75,X225="Final Handicap"),AND(A225&gt;25,X225="1st half Handicap")),OR(AND(G225&gt;20,U225&lt;T225,E225&gt;45),AND(G225&lt;-20,U225&gt;T225,E225&lt;55))),AND(AND(A225-Y225&lt;200,A225-Y225&gt;9),OR(AND(A225&gt;75,X225="Final Handicap"),AND(A225&gt;25,X225="1st half Handicap")),OR(AND(AK225&gt;20,U225&lt;T225,E225&gt;45),AND(AK225&lt;-20,U225&gt;T225,E225&lt;55))),AND(AND(A225-AL225&lt;200,A225-AL225&gt;9),OR(AND(A225&gt;75,X225="Final Handicap"),AND(A225&gt;25,X225="1st half Handicap")),OR(AND(AX225&gt;20,U225&lt;T225,E225&gt;45),AND(AX225&lt;-20,U225&gt;T225,E225&lt;55))),AND(AND(A225-AY225&lt;200,A225-AY225&gt;9),OR(AND(A225&gt;75,X225="Final Handicap"),AND(A225&gt;25,X225="1st half Handicap")),OR(AND(BK225&gt;20,U225&lt;T225,E225&gt;45),AND(BK225&lt;-20,U225&gt;T225,E225&lt;55)))),"GOOD","")</f>
        <v/>
      </c>
      <c r="BS225" s="21"/>
    </row>
    <row r="226" spans="1:71" ht="17.25" x14ac:dyDescent="0.3">
      <c r="A226" s="3"/>
      <c r="D226" s="8" t="str">
        <f>IF(ISBLANK(T226),"",CONCATENATE(T226,"-",U226))</f>
        <v/>
      </c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>
        <f>IF(NOT(ISBLANK(G226)),ABS(G226),0)</f>
        <v>0</v>
      </c>
      <c r="BM226">
        <f>IF(NOT(ISBLANK(AK226)),ABS(AK226),0)</f>
        <v>0</v>
      </c>
      <c r="BN226">
        <f>IF(NOT(ISBLANK(AX226)),ABS(AX226),0)</f>
        <v>0</v>
      </c>
      <c r="BO226">
        <f>IF(NOT(ISBLANK(BK226)),ABS(BK226),0)</f>
        <v>0</v>
      </c>
      <c r="BP226">
        <f>IF(ISBLANK(E226),0,ABS(E226-50))</f>
        <v>0</v>
      </c>
      <c r="BQ226" s="21" t="str">
        <f>IF(OR(ISBLANK(V226),ISBLANK(W226)),"",IF(SUM(V226,W226)=0,"",CONCATENATE(V226,"-",W226)))</f>
        <v/>
      </c>
      <c r="BR226" s="21" t="str">
        <f>IF(OR(AND(OR(AND(A226&gt;75,X226="Final Handicap"),AND(A226&gt;25,X226="1st half Handicap")),OR(AND(G226&gt;20,U226&lt;T226,E226&gt;45),AND(G226&lt;-20,U226&gt;T226,E226&lt;55))),AND(AND(A226-Y226&lt;200,A226-Y226&gt;9),OR(AND(A226&gt;75,X226="Final Handicap"),AND(A226&gt;25,X226="1st half Handicap")),OR(AND(AK226&gt;20,U226&lt;T226,E226&gt;45),AND(AK226&lt;-20,U226&gt;T226,E226&lt;55))),AND(AND(A226-AL226&lt;200,A226-AL226&gt;9),OR(AND(A226&gt;75,X226="Final Handicap"),AND(A226&gt;25,X226="1st half Handicap")),OR(AND(AX226&gt;20,U226&lt;T226,E226&gt;45),AND(AX226&lt;-20,U226&gt;T226,E226&lt;55))),AND(AND(A226-AY226&lt;200,A226-AY226&gt;9),OR(AND(A226&gt;75,X226="Final Handicap"),AND(A226&gt;25,X226="1st half Handicap")),OR(AND(BK226&gt;20,U226&lt;T226,E226&gt;45),AND(BK226&lt;-20,U226&gt;T226,E226&lt;55)))),"GOOD","")</f>
        <v/>
      </c>
      <c r="BS226" s="21"/>
    </row>
    <row r="227" spans="1:71" ht="17.25" x14ac:dyDescent="0.3">
      <c r="A227" s="3"/>
      <c r="D227" s="8" t="str">
        <f>IF(ISBLANK(T227),"",CONCATENATE(T227,"-",U227))</f>
        <v/>
      </c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>
        <f>IF(NOT(ISBLANK(G227)),ABS(G227),0)</f>
        <v>0</v>
      </c>
      <c r="BM227">
        <f>IF(NOT(ISBLANK(AK227)),ABS(AK227),0)</f>
        <v>0</v>
      </c>
      <c r="BN227">
        <f>IF(NOT(ISBLANK(AX227)),ABS(AX227),0)</f>
        <v>0</v>
      </c>
      <c r="BO227">
        <f>IF(NOT(ISBLANK(BK227)),ABS(BK227),0)</f>
        <v>0</v>
      </c>
      <c r="BP227">
        <f>IF(ISBLANK(E227),0,ABS(E227-50))</f>
        <v>0</v>
      </c>
      <c r="BQ227" s="21" t="str">
        <f>IF(OR(ISBLANK(V227),ISBLANK(W227)),"",IF(SUM(V227,W227)=0,"",CONCATENATE(V227,"-",W227)))</f>
        <v/>
      </c>
      <c r="BR227" s="21" t="str">
        <f>IF(OR(AND(OR(AND(A227&gt;75,X227="Final Handicap"),AND(A227&gt;25,X227="1st half Handicap")),OR(AND(G227&gt;20,U227&lt;T227,E227&gt;45),AND(G227&lt;-20,U227&gt;T227,E227&lt;55))),AND(AND(A227-Y227&lt;200,A227-Y227&gt;9),OR(AND(A227&gt;75,X227="Final Handicap"),AND(A227&gt;25,X227="1st half Handicap")),OR(AND(AK227&gt;20,U227&lt;T227,E227&gt;45),AND(AK227&lt;-20,U227&gt;T227,E227&lt;55))),AND(AND(A227-AL227&lt;200,A227-AL227&gt;9),OR(AND(A227&gt;75,X227="Final Handicap"),AND(A227&gt;25,X227="1st half Handicap")),OR(AND(AX227&gt;20,U227&lt;T227,E227&gt;45),AND(AX227&lt;-20,U227&gt;T227,E227&lt;55))),AND(AND(A227-AY227&lt;200,A227-AY227&gt;9),OR(AND(A227&gt;75,X227="Final Handicap"),AND(A227&gt;25,X227="1st half Handicap")),OR(AND(BK227&gt;20,U227&lt;T227,E227&gt;45),AND(BK227&lt;-20,U227&gt;T227,E227&lt;55)))),"GOOD","")</f>
        <v/>
      </c>
      <c r="BS227" s="21"/>
    </row>
    <row r="228" spans="1:71" ht="17.25" x14ac:dyDescent="0.3">
      <c r="A228" s="3"/>
      <c r="D228" s="8" t="str">
        <f>IF(ISBLANK(T228),"",CONCATENATE(T228,"-",U228))</f>
        <v/>
      </c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>
        <f>IF(NOT(ISBLANK(G228)),ABS(G228),0)</f>
        <v>0</v>
      </c>
      <c r="BM228">
        <f>IF(NOT(ISBLANK(AK228)),ABS(AK228),0)</f>
        <v>0</v>
      </c>
      <c r="BN228">
        <f>IF(NOT(ISBLANK(AX228)),ABS(AX228),0)</f>
        <v>0</v>
      </c>
      <c r="BO228">
        <f>IF(NOT(ISBLANK(BK228)),ABS(BK228),0)</f>
        <v>0</v>
      </c>
      <c r="BP228">
        <f>IF(ISBLANK(E228),0,ABS(E228-50))</f>
        <v>0</v>
      </c>
      <c r="BQ228" s="21" t="str">
        <f>IF(OR(ISBLANK(V228),ISBLANK(W228)),"",IF(SUM(V228,W228)=0,"",CONCATENATE(V228,"-",W228)))</f>
        <v/>
      </c>
      <c r="BR228" s="21" t="str">
        <f>IF(OR(AND(OR(AND(A228&gt;75,X228="Final Handicap"),AND(A228&gt;25,X228="1st half Handicap")),OR(AND(G228&gt;20,U228&lt;T228,E228&gt;45),AND(G228&lt;-20,U228&gt;T228,E228&lt;55))),AND(AND(A228-Y228&lt;200,A228-Y228&gt;9),OR(AND(A228&gt;75,X228="Final Handicap"),AND(A228&gt;25,X228="1st half Handicap")),OR(AND(AK228&gt;20,U228&lt;T228,E228&gt;45),AND(AK228&lt;-20,U228&gt;T228,E228&lt;55))),AND(AND(A228-AL228&lt;200,A228-AL228&gt;9),OR(AND(A228&gt;75,X228="Final Handicap"),AND(A228&gt;25,X228="1st half Handicap")),OR(AND(AX228&gt;20,U228&lt;T228,E228&gt;45),AND(AX228&lt;-20,U228&gt;T228,E228&lt;55))),AND(AND(A228-AY228&lt;200,A228-AY228&gt;9),OR(AND(A228&gt;75,X228="Final Handicap"),AND(A228&gt;25,X228="1st half Handicap")),OR(AND(BK228&gt;20,U228&lt;T228,E228&gt;45),AND(BK228&lt;-20,U228&gt;T228,E228&lt;55)))),"GOOD","")</f>
        <v/>
      </c>
      <c r="BS228" s="21"/>
    </row>
    <row r="229" spans="1:71" ht="17.25" x14ac:dyDescent="0.3">
      <c r="A229" s="3"/>
      <c r="D229" s="8" t="str">
        <f>IF(ISBLANK(T229),"",CONCATENATE(T229,"-",U229))</f>
        <v/>
      </c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>
        <f>IF(NOT(ISBLANK(G229)),ABS(G229),0)</f>
        <v>0</v>
      </c>
      <c r="BM229">
        <f>IF(NOT(ISBLANK(AK229)),ABS(AK229),0)</f>
        <v>0</v>
      </c>
      <c r="BN229">
        <f>IF(NOT(ISBLANK(AX229)),ABS(AX229),0)</f>
        <v>0</v>
      </c>
      <c r="BO229">
        <f>IF(NOT(ISBLANK(BK229)),ABS(BK229),0)</f>
        <v>0</v>
      </c>
      <c r="BP229">
        <f>IF(ISBLANK(E229),0,ABS(E229-50))</f>
        <v>0</v>
      </c>
      <c r="BQ229" s="21" t="str">
        <f>IF(OR(ISBLANK(V229),ISBLANK(W229)),"",IF(SUM(V229,W229)=0,"",CONCATENATE(V229,"-",W229)))</f>
        <v/>
      </c>
      <c r="BR229" s="21" t="str">
        <f>IF(OR(AND(OR(AND(A229&gt;75,X229="Final Handicap"),AND(A229&gt;25,X229="1st half Handicap")),OR(AND(G229&gt;20,U229&lt;T229,E229&gt;45),AND(G229&lt;-20,U229&gt;T229,E229&lt;55))),AND(AND(A229-Y229&lt;200,A229-Y229&gt;9),OR(AND(A229&gt;75,X229="Final Handicap"),AND(A229&gt;25,X229="1st half Handicap")),OR(AND(AK229&gt;20,U229&lt;T229,E229&gt;45),AND(AK229&lt;-20,U229&gt;T229,E229&lt;55))),AND(AND(A229-AL229&lt;200,A229-AL229&gt;9),OR(AND(A229&gt;75,X229="Final Handicap"),AND(A229&gt;25,X229="1st half Handicap")),OR(AND(AX229&gt;20,U229&lt;T229,E229&gt;45),AND(AX229&lt;-20,U229&gt;T229,E229&lt;55))),AND(AND(A229-AY229&lt;200,A229-AY229&gt;9),OR(AND(A229&gt;75,X229="Final Handicap"),AND(A229&gt;25,X229="1st half Handicap")),OR(AND(BK229&gt;20,U229&lt;T229,E229&gt;45),AND(BK229&lt;-20,U229&gt;T229,E229&lt;55)))),"GOOD","")</f>
        <v/>
      </c>
      <c r="BS229" s="21"/>
    </row>
    <row r="230" spans="1:71" ht="17.25" x14ac:dyDescent="0.3">
      <c r="A230" s="3"/>
      <c r="D230" s="8" t="str">
        <f>IF(ISBLANK(T230),"",CONCATENATE(T230,"-",U230))</f>
        <v/>
      </c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>
        <f>IF(NOT(ISBLANK(G230)),ABS(G230),0)</f>
        <v>0</v>
      </c>
      <c r="BM230">
        <f>IF(NOT(ISBLANK(AK230)),ABS(AK230),0)</f>
        <v>0</v>
      </c>
      <c r="BN230">
        <f>IF(NOT(ISBLANK(AX230)),ABS(AX230),0)</f>
        <v>0</v>
      </c>
      <c r="BO230">
        <f>IF(NOT(ISBLANK(BK230)),ABS(BK230),0)</f>
        <v>0</v>
      </c>
      <c r="BP230">
        <f>IF(ISBLANK(E230),0,ABS(E230-50))</f>
        <v>0</v>
      </c>
      <c r="BQ230" s="21" t="str">
        <f>IF(OR(ISBLANK(V230),ISBLANK(W230)),"",IF(SUM(V230,W230)=0,"",CONCATENATE(V230,"-",W230)))</f>
        <v/>
      </c>
      <c r="BR230" s="21" t="str">
        <f>IF(OR(AND(OR(AND(A230&gt;75,X230="Final Handicap"),AND(A230&gt;25,X230="1st half Handicap")),OR(AND(G230&gt;20,U230&lt;T230,E230&gt;45),AND(G230&lt;-20,U230&gt;T230,E230&lt;55))),AND(AND(A230-Y230&lt;200,A230-Y230&gt;9),OR(AND(A230&gt;75,X230="Final Handicap"),AND(A230&gt;25,X230="1st half Handicap")),OR(AND(AK230&gt;20,U230&lt;T230,E230&gt;45),AND(AK230&lt;-20,U230&gt;T230,E230&lt;55))),AND(AND(A230-AL230&lt;200,A230-AL230&gt;9),OR(AND(A230&gt;75,X230="Final Handicap"),AND(A230&gt;25,X230="1st half Handicap")),OR(AND(AX230&gt;20,U230&lt;T230,E230&gt;45),AND(AX230&lt;-20,U230&gt;T230,E230&lt;55))),AND(AND(A230-AY230&lt;200,A230-AY230&gt;9),OR(AND(A230&gt;75,X230="Final Handicap"),AND(A230&gt;25,X230="1st half Handicap")),OR(AND(BK230&gt;20,U230&lt;T230,E230&gt;45),AND(BK230&lt;-20,U230&gt;T230,E230&lt;55)))),"GOOD","")</f>
        <v/>
      </c>
      <c r="BS230" s="21"/>
    </row>
    <row r="231" spans="1:71" ht="17.25" x14ac:dyDescent="0.3">
      <c r="A231" s="3"/>
      <c r="D231" s="8" t="str">
        <f>IF(ISBLANK(T231),"",CONCATENATE(T231,"-",U231))</f>
        <v/>
      </c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>
        <f>IF(NOT(ISBLANK(G231)),ABS(G231),0)</f>
        <v>0</v>
      </c>
      <c r="BM231">
        <f>IF(NOT(ISBLANK(AK231)),ABS(AK231),0)</f>
        <v>0</v>
      </c>
      <c r="BN231">
        <f>IF(NOT(ISBLANK(AX231)),ABS(AX231),0)</f>
        <v>0</v>
      </c>
      <c r="BO231">
        <f>IF(NOT(ISBLANK(BK231)),ABS(BK231),0)</f>
        <v>0</v>
      </c>
      <c r="BP231">
        <f>IF(ISBLANK(E231),0,ABS(E231-50))</f>
        <v>0</v>
      </c>
      <c r="BQ231" s="21" t="str">
        <f>IF(OR(ISBLANK(V231),ISBLANK(W231)),"",IF(SUM(V231,W231)=0,"",CONCATENATE(V231,"-",W231)))</f>
        <v/>
      </c>
      <c r="BR231" s="21" t="str">
        <f>IF(OR(AND(OR(AND(A231&gt;75,X231="Final Handicap"),AND(A231&gt;25,X231="1st half Handicap")),OR(AND(G231&gt;20,U231&lt;T231,E231&gt;45),AND(G231&lt;-20,U231&gt;T231,E231&lt;55))),AND(AND(A231-Y231&lt;200,A231-Y231&gt;9),OR(AND(A231&gt;75,X231="Final Handicap"),AND(A231&gt;25,X231="1st half Handicap")),OR(AND(AK231&gt;20,U231&lt;T231,E231&gt;45),AND(AK231&lt;-20,U231&gt;T231,E231&lt;55))),AND(AND(A231-AL231&lt;200,A231-AL231&gt;9),OR(AND(A231&gt;75,X231="Final Handicap"),AND(A231&gt;25,X231="1st half Handicap")),OR(AND(AX231&gt;20,U231&lt;T231,E231&gt;45),AND(AX231&lt;-20,U231&gt;T231,E231&lt;55))),AND(AND(A231-AY231&lt;200,A231-AY231&gt;9),OR(AND(A231&gt;75,X231="Final Handicap"),AND(A231&gt;25,X231="1st half Handicap")),OR(AND(BK231&gt;20,U231&lt;T231,E231&gt;45),AND(BK231&lt;-20,U231&gt;T231,E231&lt;55)))),"GOOD","")</f>
        <v/>
      </c>
      <c r="BS231" s="21"/>
    </row>
    <row r="232" spans="1:71" ht="17.25" x14ac:dyDescent="0.3">
      <c r="A232" s="3"/>
      <c r="D232" s="8" t="str">
        <f>IF(ISBLANK(T232),"",CONCATENATE(T232,"-",U232))</f>
        <v/>
      </c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>
        <f>IF(NOT(ISBLANK(G232)),ABS(G232),0)</f>
        <v>0</v>
      </c>
      <c r="BM232">
        <f>IF(NOT(ISBLANK(AK232)),ABS(AK232),0)</f>
        <v>0</v>
      </c>
      <c r="BN232">
        <f>IF(NOT(ISBLANK(AX232)),ABS(AX232),0)</f>
        <v>0</v>
      </c>
      <c r="BO232">
        <f>IF(NOT(ISBLANK(BK232)),ABS(BK232),0)</f>
        <v>0</v>
      </c>
      <c r="BP232">
        <f>IF(ISBLANK(E232),0,ABS(E232-50))</f>
        <v>0</v>
      </c>
      <c r="BQ232" s="21" t="str">
        <f>IF(OR(ISBLANK(V232),ISBLANK(W232)),"",IF(SUM(V232,W232)=0,"",CONCATENATE(V232,"-",W232)))</f>
        <v/>
      </c>
      <c r="BR232" s="21" t="str">
        <f>IF(OR(AND(OR(AND(A232&gt;75,X232="Final Handicap"),AND(A232&gt;25,X232="1st half Handicap")),OR(AND(G232&gt;20,U232&lt;T232,E232&gt;45),AND(G232&lt;-20,U232&gt;T232,E232&lt;55))),AND(AND(A232-Y232&lt;200,A232-Y232&gt;9),OR(AND(A232&gt;75,X232="Final Handicap"),AND(A232&gt;25,X232="1st half Handicap")),OR(AND(AK232&gt;20,U232&lt;T232,E232&gt;45),AND(AK232&lt;-20,U232&gt;T232,E232&lt;55))),AND(AND(A232-AL232&lt;200,A232-AL232&gt;9),OR(AND(A232&gt;75,X232="Final Handicap"),AND(A232&gt;25,X232="1st half Handicap")),OR(AND(AX232&gt;20,U232&lt;T232,E232&gt;45),AND(AX232&lt;-20,U232&gt;T232,E232&lt;55))),AND(AND(A232-AY232&lt;200,A232-AY232&gt;9),OR(AND(A232&gt;75,X232="Final Handicap"),AND(A232&gt;25,X232="1st half Handicap")),OR(AND(BK232&gt;20,U232&lt;T232,E232&gt;45),AND(BK232&lt;-20,U232&gt;T232,E232&lt;55)))),"GOOD","")</f>
        <v/>
      </c>
      <c r="BS232" s="21"/>
    </row>
    <row r="233" spans="1:71" ht="17.25" x14ac:dyDescent="0.3">
      <c r="A233" s="3"/>
      <c r="D233" s="8" t="str">
        <f>IF(ISBLANK(T233),"",CONCATENATE(T233,"-",U233))</f>
        <v/>
      </c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>
        <f>IF(NOT(ISBLANK(G233)),ABS(G233),0)</f>
        <v>0</v>
      </c>
      <c r="BM233">
        <f>IF(NOT(ISBLANK(AK233)),ABS(AK233),0)</f>
        <v>0</v>
      </c>
      <c r="BN233">
        <f>IF(NOT(ISBLANK(AX233)),ABS(AX233),0)</f>
        <v>0</v>
      </c>
      <c r="BO233">
        <f>IF(NOT(ISBLANK(BK233)),ABS(BK233),0)</f>
        <v>0</v>
      </c>
      <c r="BP233">
        <f>IF(ISBLANK(E233),0,ABS(E233-50))</f>
        <v>0</v>
      </c>
      <c r="BQ233" s="21" t="str">
        <f>IF(OR(ISBLANK(V233),ISBLANK(W233)),"",IF(SUM(V233,W233)=0,"",CONCATENATE(V233,"-",W233)))</f>
        <v/>
      </c>
      <c r="BR233" s="21" t="str">
        <f>IF(OR(AND(OR(AND(A233&gt;75,X233="Final Handicap"),AND(A233&gt;25,X233="1st half Handicap")),OR(AND(G233&gt;20,U233&lt;T233,E233&gt;45),AND(G233&lt;-20,U233&gt;T233,E233&lt;55))),AND(AND(A233-Y233&lt;200,A233-Y233&gt;9),OR(AND(A233&gt;75,X233="Final Handicap"),AND(A233&gt;25,X233="1st half Handicap")),OR(AND(AK233&gt;20,U233&lt;T233,E233&gt;45),AND(AK233&lt;-20,U233&gt;T233,E233&lt;55))),AND(AND(A233-AL233&lt;200,A233-AL233&gt;9),OR(AND(A233&gt;75,X233="Final Handicap"),AND(A233&gt;25,X233="1st half Handicap")),OR(AND(AX233&gt;20,U233&lt;T233,E233&gt;45),AND(AX233&lt;-20,U233&gt;T233,E233&lt;55))),AND(AND(A233-AY233&lt;200,A233-AY233&gt;9),OR(AND(A233&gt;75,X233="Final Handicap"),AND(A233&gt;25,X233="1st half Handicap")),OR(AND(BK233&gt;20,U233&lt;T233,E233&gt;45),AND(BK233&lt;-20,U233&gt;T233,E233&lt;55)))),"GOOD","")</f>
        <v/>
      </c>
      <c r="BS233" s="21"/>
    </row>
    <row r="234" spans="1:71" ht="17.25" x14ac:dyDescent="0.3">
      <c r="A234" s="3"/>
      <c r="D234" s="8" t="str">
        <f>IF(ISBLANK(T234),"",CONCATENATE(T234,"-",U234))</f>
        <v/>
      </c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>
        <f>IF(NOT(ISBLANK(G234)),ABS(G234),0)</f>
        <v>0</v>
      </c>
      <c r="BM234">
        <f>IF(NOT(ISBLANK(AK234)),ABS(AK234),0)</f>
        <v>0</v>
      </c>
      <c r="BN234">
        <f>IF(NOT(ISBLANK(AX234)),ABS(AX234),0)</f>
        <v>0</v>
      </c>
      <c r="BO234">
        <f>IF(NOT(ISBLANK(BK234)),ABS(BK234),0)</f>
        <v>0</v>
      </c>
      <c r="BP234">
        <f>IF(ISBLANK(E234),0,ABS(E234-50))</f>
        <v>0</v>
      </c>
      <c r="BQ234" s="21" t="str">
        <f>IF(OR(ISBLANK(V234),ISBLANK(W234)),"",IF(SUM(V234,W234)=0,"",CONCATENATE(V234,"-",W234)))</f>
        <v/>
      </c>
      <c r="BR234" s="21" t="str">
        <f>IF(OR(AND(OR(AND(A234&gt;75,X234="Final Handicap"),AND(A234&gt;25,X234="1st half Handicap")),OR(AND(G234&gt;20,U234&lt;T234,E234&gt;45),AND(G234&lt;-20,U234&gt;T234,E234&lt;55))),AND(AND(A234-Y234&lt;200,A234-Y234&gt;9),OR(AND(A234&gt;75,X234="Final Handicap"),AND(A234&gt;25,X234="1st half Handicap")),OR(AND(AK234&gt;20,U234&lt;T234,E234&gt;45),AND(AK234&lt;-20,U234&gt;T234,E234&lt;55))),AND(AND(A234-AL234&lt;200,A234-AL234&gt;9),OR(AND(A234&gt;75,X234="Final Handicap"),AND(A234&gt;25,X234="1st half Handicap")),OR(AND(AX234&gt;20,U234&lt;T234,E234&gt;45),AND(AX234&lt;-20,U234&gt;T234,E234&lt;55))),AND(AND(A234-AY234&lt;200,A234-AY234&gt;9),OR(AND(A234&gt;75,X234="Final Handicap"),AND(A234&gt;25,X234="1st half Handicap")),OR(AND(BK234&gt;20,U234&lt;T234,E234&gt;45),AND(BK234&lt;-20,U234&gt;T234,E234&lt;55)))),"GOOD","")</f>
        <v/>
      </c>
      <c r="BS234" s="21"/>
    </row>
    <row r="235" spans="1:71" ht="17.25" x14ac:dyDescent="0.3">
      <c r="A235" s="3"/>
      <c r="D235" s="8" t="str">
        <f>IF(ISBLANK(T235),"",CONCATENATE(T235,"-",U235))</f>
        <v/>
      </c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>
        <f>IF(NOT(ISBLANK(G235)),ABS(G235),0)</f>
        <v>0</v>
      </c>
      <c r="BM235">
        <f>IF(NOT(ISBLANK(AK235)),ABS(AK235),0)</f>
        <v>0</v>
      </c>
      <c r="BN235">
        <f>IF(NOT(ISBLANK(AX235)),ABS(AX235),0)</f>
        <v>0</v>
      </c>
      <c r="BO235">
        <f>IF(NOT(ISBLANK(BK235)),ABS(BK235),0)</f>
        <v>0</v>
      </c>
      <c r="BP235">
        <f>IF(ISBLANK(E235),0,ABS(E235-50))</f>
        <v>0</v>
      </c>
      <c r="BQ235" s="21" t="str">
        <f>IF(OR(ISBLANK(V235),ISBLANK(W235)),"",IF(SUM(V235,W235)=0,"",CONCATENATE(V235,"-",W235)))</f>
        <v/>
      </c>
      <c r="BR235" s="21" t="str">
        <f>IF(OR(AND(OR(AND(A235&gt;75,X235="Final Handicap"),AND(A235&gt;25,X235="1st half Handicap")),OR(AND(G235&gt;20,U235&lt;T235,E235&gt;45),AND(G235&lt;-20,U235&gt;T235,E235&lt;55))),AND(AND(A235-Y235&lt;200,A235-Y235&gt;9),OR(AND(A235&gt;75,X235="Final Handicap"),AND(A235&gt;25,X235="1st half Handicap")),OR(AND(AK235&gt;20,U235&lt;T235,E235&gt;45),AND(AK235&lt;-20,U235&gt;T235,E235&lt;55))),AND(AND(A235-AL235&lt;200,A235-AL235&gt;9),OR(AND(A235&gt;75,X235="Final Handicap"),AND(A235&gt;25,X235="1st half Handicap")),OR(AND(AX235&gt;20,U235&lt;T235,E235&gt;45),AND(AX235&lt;-20,U235&gt;T235,E235&lt;55))),AND(AND(A235-AY235&lt;200,A235-AY235&gt;9),OR(AND(A235&gt;75,X235="Final Handicap"),AND(A235&gt;25,X235="1st half Handicap")),OR(AND(BK235&gt;20,U235&lt;T235,E235&gt;45),AND(BK235&lt;-20,U235&gt;T235,E235&lt;55)))),"GOOD","")</f>
        <v/>
      </c>
      <c r="BS235" s="21"/>
    </row>
    <row r="236" spans="1:71" ht="17.25" x14ac:dyDescent="0.3">
      <c r="A236" s="3"/>
      <c r="D236" s="8" t="str">
        <f>IF(ISBLANK(T236),"",CONCATENATE(T236,"-",U236))</f>
        <v/>
      </c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>
        <f>IF(NOT(ISBLANK(G236)),ABS(G236),0)</f>
        <v>0</v>
      </c>
      <c r="BM236">
        <f>IF(NOT(ISBLANK(AK236)),ABS(AK236),0)</f>
        <v>0</v>
      </c>
      <c r="BN236">
        <f>IF(NOT(ISBLANK(AX236)),ABS(AX236),0)</f>
        <v>0</v>
      </c>
      <c r="BO236">
        <f>IF(NOT(ISBLANK(BK236)),ABS(BK236),0)</f>
        <v>0</v>
      </c>
      <c r="BP236">
        <f>IF(ISBLANK(E236),0,ABS(E236-50))</f>
        <v>0</v>
      </c>
      <c r="BQ236" s="21" t="str">
        <f>IF(OR(ISBLANK(V236),ISBLANK(W236)),"",IF(SUM(V236,W236)=0,"",CONCATENATE(V236,"-",W236)))</f>
        <v/>
      </c>
      <c r="BR236" s="21" t="str">
        <f>IF(OR(AND(OR(AND(A236&gt;75,X236="Final Handicap"),AND(A236&gt;25,X236="1st half Handicap")),OR(AND(G236&gt;20,U236&lt;T236,E236&gt;45),AND(G236&lt;-20,U236&gt;T236,E236&lt;55))),AND(AND(A236-Y236&lt;200,A236-Y236&gt;9),OR(AND(A236&gt;75,X236="Final Handicap"),AND(A236&gt;25,X236="1st half Handicap")),OR(AND(AK236&gt;20,U236&lt;T236,E236&gt;45),AND(AK236&lt;-20,U236&gt;T236,E236&lt;55))),AND(AND(A236-AL236&lt;200,A236-AL236&gt;9),OR(AND(A236&gt;75,X236="Final Handicap"),AND(A236&gt;25,X236="1st half Handicap")),OR(AND(AX236&gt;20,U236&lt;T236,E236&gt;45),AND(AX236&lt;-20,U236&gt;T236,E236&lt;55))),AND(AND(A236-AY236&lt;200,A236-AY236&gt;9),OR(AND(A236&gt;75,X236="Final Handicap"),AND(A236&gt;25,X236="1st half Handicap")),OR(AND(BK236&gt;20,U236&lt;T236,E236&gt;45),AND(BK236&lt;-20,U236&gt;T236,E236&lt;55)))),"GOOD","")</f>
        <v/>
      </c>
      <c r="BS236" s="21"/>
    </row>
    <row r="237" spans="1:71" ht="17.25" x14ac:dyDescent="0.3">
      <c r="A237" s="3"/>
      <c r="D237" s="8" t="str">
        <f>IF(ISBLANK(T237),"",CONCATENATE(T237,"-",U237))</f>
        <v/>
      </c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>
        <f>IF(NOT(ISBLANK(G237)),ABS(G237),0)</f>
        <v>0</v>
      </c>
      <c r="BM237">
        <f>IF(NOT(ISBLANK(AK237)),ABS(AK237),0)</f>
        <v>0</v>
      </c>
      <c r="BN237">
        <f>IF(NOT(ISBLANK(AX237)),ABS(AX237),0)</f>
        <v>0</v>
      </c>
      <c r="BO237">
        <f>IF(NOT(ISBLANK(BK237)),ABS(BK237),0)</f>
        <v>0</v>
      </c>
      <c r="BP237">
        <f>IF(ISBLANK(E237),0,ABS(E237-50))</f>
        <v>0</v>
      </c>
      <c r="BQ237" s="21" t="str">
        <f>IF(OR(ISBLANK(V237),ISBLANK(W237)),"",IF(SUM(V237,W237)=0,"",CONCATENATE(V237,"-",W237)))</f>
        <v/>
      </c>
      <c r="BR237" s="21" t="str">
        <f>IF(OR(AND(OR(AND(A237&gt;75,X237="Final Handicap"),AND(A237&gt;25,X237="1st half Handicap")),OR(AND(G237&gt;20,U237&lt;T237,E237&gt;45),AND(G237&lt;-20,U237&gt;T237,E237&lt;55))),AND(AND(A237-Y237&lt;200,A237-Y237&gt;9),OR(AND(A237&gt;75,X237="Final Handicap"),AND(A237&gt;25,X237="1st half Handicap")),OR(AND(AK237&gt;20,U237&lt;T237,E237&gt;45),AND(AK237&lt;-20,U237&gt;T237,E237&lt;55))),AND(AND(A237-AL237&lt;200,A237-AL237&gt;9),OR(AND(A237&gt;75,X237="Final Handicap"),AND(A237&gt;25,X237="1st half Handicap")),OR(AND(AX237&gt;20,U237&lt;T237,E237&gt;45),AND(AX237&lt;-20,U237&gt;T237,E237&lt;55))),AND(AND(A237-AY237&lt;200,A237-AY237&gt;9),OR(AND(A237&gt;75,X237="Final Handicap"),AND(A237&gt;25,X237="1st half Handicap")),OR(AND(BK237&gt;20,U237&lt;T237,E237&gt;45),AND(BK237&lt;-20,U237&gt;T237,E237&lt;55)))),"GOOD","")</f>
        <v/>
      </c>
      <c r="BS237" s="21"/>
    </row>
    <row r="238" spans="1:71" ht="17.25" x14ac:dyDescent="0.3">
      <c r="A238" s="3"/>
      <c r="D238" s="8" t="str">
        <f>IF(ISBLANK(T238),"",CONCATENATE(T238,"-",U238))</f>
        <v/>
      </c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>
        <f>IF(NOT(ISBLANK(G238)),ABS(G238),0)</f>
        <v>0</v>
      </c>
      <c r="BM238">
        <f>IF(NOT(ISBLANK(AK238)),ABS(AK238),0)</f>
        <v>0</v>
      </c>
      <c r="BN238">
        <f>IF(NOT(ISBLANK(AX238)),ABS(AX238),0)</f>
        <v>0</v>
      </c>
      <c r="BO238">
        <f>IF(NOT(ISBLANK(BK238)),ABS(BK238),0)</f>
        <v>0</v>
      </c>
      <c r="BP238">
        <f>IF(ISBLANK(E238),0,ABS(E238-50))</f>
        <v>0</v>
      </c>
      <c r="BQ238" s="21" t="str">
        <f>IF(OR(ISBLANK(V238),ISBLANK(W238)),"",IF(SUM(V238,W238)=0,"",CONCATENATE(V238,"-",W238)))</f>
        <v/>
      </c>
      <c r="BR238" s="21" t="str">
        <f>IF(OR(AND(OR(AND(A238&gt;75,X238="Final Handicap"),AND(A238&gt;25,X238="1st half Handicap")),OR(AND(G238&gt;20,U238&lt;T238,E238&gt;45),AND(G238&lt;-20,U238&gt;T238,E238&lt;55))),AND(AND(A238-Y238&lt;200,A238-Y238&gt;9),OR(AND(A238&gt;75,X238="Final Handicap"),AND(A238&gt;25,X238="1st half Handicap")),OR(AND(AK238&gt;20,U238&lt;T238,E238&gt;45),AND(AK238&lt;-20,U238&gt;T238,E238&lt;55))),AND(AND(A238-AL238&lt;200,A238-AL238&gt;9),OR(AND(A238&gt;75,X238="Final Handicap"),AND(A238&gt;25,X238="1st half Handicap")),OR(AND(AX238&gt;20,U238&lt;T238,E238&gt;45),AND(AX238&lt;-20,U238&gt;T238,E238&lt;55))),AND(AND(A238-AY238&lt;200,A238-AY238&gt;9),OR(AND(A238&gt;75,X238="Final Handicap"),AND(A238&gt;25,X238="1st half Handicap")),OR(AND(BK238&gt;20,U238&lt;T238,E238&gt;45),AND(BK238&lt;-20,U238&gt;T238,E238&lt;55)))),"GOOD","")</f>
        <v/>
      </c>
      <c r="BS238" s="21"/>
    </row>
    <row r="239" spans="1:71" ht="17.25" x14ac:dyDescent="0.3">
      <c r="A239" s="3"/>
      <c r="D239" s="8" t="str">
        <f>IF(ISBLANK(T239),"",CONCATENATE(T239,"-",U239))</f>
        <v/>
      </c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>
        <f>IF(NOT(ISBLANK(G239)),ABS(G239),0)</f>
        <v>0</v>
      </c>
      <c r="BM239">
        <f>IF(NOT(ISBLANK(AK239)),ABS(AK239),0)</f>
        <v>0</v>
      </c>
      <c r="BN239">
        <f>IF(NOT(ISBLANK(AX239)),ABS(AX239),0)</f>
        <v>0</v>
      </c>
      <c r="BO239">
        <f>IF(NOT(ISBLANK(BK239)),ABS(BK239),0)</f>
        <v>0</v>
      </c>
      <c r="BP239">
        <f>IF(ISBLANK(E239),0,ABS(E239-50))</f>
        <v>0</v>
      </c>
      <c r="BQ239" s="21" t="str">
        <f>IF(OR(ISBLANK(V239),ISBLANK(W239)),"",IF(SUM(V239,W239)=0,"",CONCATENATE(V239,"-",W239)))</f>
        <v/>
      </c>
      <c r="BR239" s="21" t="str">
        <f>IF(OR(AND(OR(AND(A239&gt;75,X239="Final Handicap"),AND(A239&gt;25,X239="1st half Handicap")),OR(AND(G239&gt;20,U239&lt;T239,E239&gt;45),AND(G239&lt;-20,U239&gt;T239,E239&lt;55))),AND(AND(A239-Y239&lt;200,A239-Y239&gt;9),OR(AND(A239&gt;75,X239="Final Handicap"),AND(A239&gt;25,X239="1st half Handicap")),OR(AND(AK239&gt;20,U239&lt;T239,E239&gt;45),AND(AK239&lt;-20,U239&gt;T239,E239&lt;55))),AND(AND(A239-AL239&lt;200,A239-AL239&gt;9),OR(AND(A239&gt;75,X239="Final Handicap"),AND(A239&gt;25,X239="1st half Handicap")),OR(AND(AX239&gt;20,U239&lt;T239,E239&gt;45),AND(AX239&lt;-20,U239&gt;T239,E239&lt;55))),AND(AND(A239-AY239&lt;200,A239-AY239&gt;9),OR(AND(A239&gt;75,X239="Final Handicap"),AND(A239&gt;25,X239="1st half Handicap")),OR(AND(BK239&gt;20,U239&lt;T239,E239&gt;45),AND(BK239&lt;-20,U239&gt;T239,E239&lt;55)))),"GOOD","")</f>
        <v/>
      </c>
      <c r="BS239" s="21"/>
    </row>
    <row r="240" spans="1:71" ht="17.25" x14ac:dyDescent="0.3">
      <c r="A240" s="3"/>
      <c r="D240" s="8" t="str">
        <f>IF(ISBLANK(T240),"",CONCATENATE(T240,"-",U240))</f>
        <v/>
      </c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>
        <f>IF(NOT(ISBLANK(G240)),ABS(G240),0)</f>
        <v>0</v>
      </c>
      <c r="BM240">
        <f>IF(NOT(ISBLANK(AK240)),ABS(AK240),0)</f>
        <v>0</v>
      </c>
      <c r="BN240">
        <f>IF(NOT(ISBLANK(AX240)),ABS(AX240),0)</f>
        <v>0</v>
      </c>
      <c r="BO240">
        <f>IF(NOT(ISBLANK(BK240)),ABS(BK240),0)</f>
        <v>0</v>
      </c>
      <c r="BP240">
        <f>IF(ISBLANK(E240),0,ABS(E240-50))</f>
        <v>0</v>
      </c>
      <c r="BQ240" s="21" t="str">
        <f>IF(OR(ISBLANK(V240),ISBLANK(W240)),"",IF(SUM(V240,W240)=0,"",CONCATENATE(V240,"-",W240)))</f>
        <v/>
      </c>
      <c r="BR240" s="21" t="str">
        <f>IF(OR(AND(OR(AND(A240&gt;75,X240="Final Handicap"),AND(A240&gt;25,X240="1st half Handicap")),OR(AND(G240&gt;20,U240&lt;T240,E240&gt;45),AND(G240&lt;-20,U240&gt;T240,E240&lt;55))),AND(AND(A240-Y240&lt;200,A240-Y240&gt;9),OR(AND(A240&gt;75,X240="Final Handicap"),AND(A240&gt;25,X240="1st half Handicap")),OR(AND(AK240&gt;20,U240&lt;T240,E240&gt;45),AND(AK240&lt;-20,U240&gt;T240,E240&lt;55))),AND(AND(A240-AL240&lt;200,A240-AL240&gt;9),OR(AND(A240&gt;75,X240="Final Handicap"),AND(A240&gt;25,X240="1st half Handicap")),OR(AND(AX240&gt;20,U240&lt;T240,E240&gt;45),AND(AX240&lt;-20,U240&gt;T240,E240&lt;55))),AND(AND(A240-AY240&lt;200,A240-AY240&gt;9),OR(AND(A240&gt;75,X240="Final Handicap"),AND(A240&gt;25,X240="1st half Handicap")),OR(AND(BK240&gt;20,U240&lt;T240,E240&gt;45),AND(BK240&lt;-20,U240&gt;T240,E240&lt;55)))),"GOOD","")</f>
        <v/>
      </c>
      <c r="BS240" s="21"/>
    </row>
    <row r="241" spans="1:71" ht="17.25" x14ac:dyDescent="0.3">
      <c r="A241" s="3"/>
      <c r="D241" s="8" t="str">
        <f>IF(ISBLANK(T241),"",CONCATENATE(T241,"-",U241))</f>
        <v/>
      </c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>
        <f>IF(NOT(ISBLANK(G241)),ABS(G241),0)</f>
        <v>0</v>
      </c>
      <c r="BM241">
        <f>IF(NOT(ISBLANK(AK241)),ABS(AK241),0)</f>
        <v>0</v>
      </c>
      <c r="BN241">
        <f>IF(NOT(ISBLANK(AX241)),ABS(AX241),0)</f>
        <v>0</v>
      </c>
      <c r="BO241">
        <f>IF(NOT(ISBLANK(BK241)),ABS(BK241),0)</f>
        <v>0</v>
      </c>
      <c r="BP241">
        <f>IF(ISBLANK(E241),0,ABS(E241-50))</f>
        <v>0</v>
      </c>
      <c r="BQ241" s="21" t="str">
        <f>IF(OR(ISBLANK(V241),ISBLANK(W241)),"",IF(SUM(V241,W241)=0,"",CONCATENATE(V241,"-",W241)))</f>
        <v/>
      </c>
      <c r="BR241" s="21" t="str">
        <f>IF(OR(AND(OR(AND(A241&gt;75,X241="Final Handicap"),AND(A241&gt;25,X241="1st half Handicap")),OR(AND(G241&gt;20,U241&lt;T241,E241&gt;45),AND(G241&lt;-20,U241&gt;T241,E241&lt;55))),AND(AND(A241-Y241&lt;200,A241-Y241&gt;9),OR(AND(A241&gt;75,X241="Final Handicap"),AND(A241&gt;25,X241="1st half Handicap")),OR(AND(AK241&gt;20,U241&lt;T241,E241&gt;45),AND(AK241&lt;-20,U241&gt;T241,E241&lt;55))),AND(AND(A241-AL241&lt;200,A241-AL241&gt;9),OR(AND(A241&gt;75,X241="Final Handicap"),AND(A241&gt;25,X241="1st half Handicap")),OR(AND(AX241&gt;20,U241&lt;T241,E241&gt;45),AND(AX241&lt;-20,U241&gt;T241,E241&lt;55))),AND(AND(A241-AY241&lt;200,A241-AY241&gt;9),OR(AND(A241&gt;75,X241="Final Handicap"),AND(A241&gt;25,X241="1st half Handicap")),OR(AND(BK241&gt;20,U241&lt;T241,E241&gt;45),AND(BK241&lt;-20,U241&gt;T241,E241&lt;55)))),"GOOD","")</f>
        <v/>
      </c>
      <c r="BS241" s="21"/>
    </row>
    <row r="242" spans="1:71" ht="17.25" x14ac:dyDescent="0.3">
      <c r="A242" s="3"/>
      <c r="D242" s="8" t="str">
        <f>IF(ISBLANK(T242),"",CONCATENATE(T242,"-",U242))</f>
        <v/>
      </c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>
        <f>IF(NOT(ISBLANK(G242)),ABS(G242),0)</f>
        <v>0</v>
      </c>
      <c r="BM242">
        <f>IF(NOT(ISBLANK(AK242)),ABS(AK242),0)</f>
        <v>0</v>
      </c>
      <c r="BN242">
        <f>IF(NOT(ISBLANK(AX242)),ABS(AX242),0)</f>
        <v>0</v>
      </c>
      <c r="BO242">
        <f>IF(NOT(ISBLANK(BK242)),ABS(BK242),0)</f>
        <v>0</v>
      </c>
      <c r="BP242">
        <f>IF(ISBLANK(E242),0,ABS(E242-50))</f>
        <v>0</v>
      </c>
      <c r="BQ242" s="21" t="str">
        <f>IF(OR(ISBLANK(V242),ISBLANK(W242)),"",IF(SUM(V242,W242)=0,"",CONCATENATE(V242,"-",W242)))</f>
        <v/>
      </c>
      <c r="BR242" s="21" t="str">
        <f>IF(OR(AND(OR(AND(A242&gt;75,X242="Final Handicap"),AND(A242&gt;25,X242="1st half Handicap")),OR(AND(G242&gt;20,U242&lt;T242,E242&gt;45),AND(G242&lt;-20,U242&gt;T242,E242&lt;55))),AND(AND(A242-Y242&lt;200,A242-Y242&gt;9),OR(AND(A242&gt;75,X242="Final Handicap"),AND(A242&gt;25,X242="1st half Handicap")),OR(AND(AK242&gt;20,U242&lt;T242,E242&gt;45),AND(AK242&lt;-20,U242&gt;T242,E242&lt;55))),AND(AND(A242-AL242&lt;200,A242-AL242&gt;9),OR(AND(A242&gt;75,X242="Final Handicap"),AND(A242&gt;25,X242="1st half Handicap")),OR(AND(AX242&gt;20,U242&lt;T242,E242&gt;45),AND(AX242&lt;-20,U242&gt;T242,E242&lt;55))),AND(AND(A242-AY242&lt;200,A242-AY242&gt;9),OR(AND(A242&gt;75,X242="Final Handicap"),AND(A242&gt;25,X242="1st half Handicap")),OR(AND(BK242&gt;20,U242&lt;T242,E242&gt;45),AND(BK242&lt;-20,U242&gt;T242,E242&lt;55)))),"GOOD","")</f>
        <v/>
      </c>
      <c r="BS242" s="21"/>
    </row>
    <row r="243" spans="1:71" ht="17.25" x14ac:dyDescent="0.3">
      <c r="A243" s="3"/>
      <c r="D243" s="8" t="str">
        <f>IF(ISBLANK(T243),"",CONCATENATE(T243,"-",U243))</f>
        <v/>
      </c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>
        <f>IF(NOT(ISBLANK(G243)),ABS(G243),0)</f>
        <v>0</v>
      </c>
      <c r="BM243">
        <f>IF(NOT(ISBLANK(AK243)),ABS(AK243),0)</f>
        <v>0</v>
      </c>
      <c r="BN243">
        <f>IF(NOT(ISBLANK(AX243)),ABS(AX243),0)</f>
        <v>0</v>
      </c>
      <c r="BO243">
        <f>IF(NOT(ISBLANK(BK243)),ABS(BK243),0)</f>
        <v>0</v>
      </c>
      <c r="BP243">
        <f>IF(ISBLANK(E243),0,ABS(E243-50))</f>
        <v>0</v>
      </c>
      <c r="BQ243" s="21" t="str">
        <f>IF(OR(ISBLANK(V243),ISBLANK(W243)),"",IF(SUM(V243,W243)=0,"",CONCATENATE(V243,"-",W243)))</f>
        <v/>
      </c>
      <c r="BR243" s="21" t="str">
        <f>IF(OR(AND(OR(AND(A243&gt;75,X243="Final Handicap"),AND(A243&gt;25,X243="1st half Handicap")),OR(AND(G243&gt;20,U243&lt;T243,E243&gt;45),AND(G243&lt;-20,U243&gt;T243,E243&lt;55))),AND(AND(A243-Y243&lt;200,A243-Y243&gt;9),OR(AND(A243&gt;75,X243="Final Handicap"),AND(A243&gt;25,X243="1st half Handicap")),OR(AND(AK243&gt;20,U243&lt;T243,E243&gt;45),AND(AK243&lt;-20,U243&gt;T243,E243&lt;55))),AND(AND(A243-AL243&lt;200,A243-AL243&gt;9),OR(AND(A243&gt;75,X243="Final Handicap"),AND(A243&gt;25,X243="1st half Handicap")),OR(AND(AX243&gt;20,U243&lt;T243,E243&gt;45),AND(AX243&lt;-20,U243&gt;T243,E243&lt;55))),AND(AND(A243-AY243&lt;200,A243-AY243&gt;9),OR(AND(A243&gt;75,X243="Final Handicap"),AND(A243&gt;25,X243="1st half Handicap")),OR(AND(BK243&gt;20,U243&lt;T243,E243&gt;45),AND(BK243&lt;-20,U243&gt;T243,E243&lt;55)))),"GOOD","")</f>
        <v/>
      </c>
      <c r="BS243" s="21"/>
    </row>
    <row r="244" spans="1:71" ht="17.25" x14ac:dyDescent="0.3">
      <c r="A244" s="3"/>
      <c r="D244" s="8" t="str">
        <f>IF(ISBLANK(T244),"",CONCATENATE(T244,"-",U244))</f>
        <v/>
      </c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>
        <f>IF(NOT(ISBLANK(G244)),ABS(G244),0)</f>
        <v>0</v>
      </c>
      <c r="BM244">
        <f>IF(NOT(ISBLANK(AK244)),ABS(AK244),0)</f>
        <v>0</v>
      </c>
      <c r="BN244">
        <f>IF(NOT(ISBLANK(AX244)),ABS(AX244),0)</f>
        <v>0</v>
      </c>
      <c r="BO244">
        <f>IF(NOT(ISBLANK(BK244)),ABS(BK244),0)</f>
        <v>0</v>
      </c>
      <c r="BP244">
        <f>IF(ISBLANK(E244),0,ABS(E244-50))</f>
        <v>0</v>
      </c>
      <c r="BQ244" s="21" t="str">
        <f>IF(OR(ISBLANK(V244),ISBLANK(W244)),"",IF(SUM(V244,W244)=0,"",CONCATENATE(V244,"-",W244)))</f>
        <v/>
      </c>
      <c r="BR244" s="21" t="str">
        <f>IF(OR(AND(OR(AND(A244&gt;75,X244="Final Handicap"),AND(A244&gt;25,X244="1st half Handicap")),OR(AND(G244&gt;20,U244&lt;T244,E244&gt;45),AND(G244&lt;-20,U244&gt;T244,E244&lt;55))),AND(AND(A244-Y244&lt;200,A244-Y244&gt;9),OR(AND(A244&gt;75,X244="Final Handicap"),AND(A244&gt;25,X244="1st half Handicap")),OR(AND(AK244&gt;20,U244&lt;T244,E244&gt;45),AND(AK244&lt;-20,U244&gt;T244,E244&lt;55))),AND(AND(A244-AL244&lt;200,A244-AL244&gt;9),OR(AND(A244&gt;75,X244="Final Handicap"),AND(A244&gt;25,X244="1st half Handicap")),OR(AND(AX244&gt;20,U244&lt;T244,E244&gt;45),AND(AX244&lt;-20,U244&gt;T244,E244&lt;55))),AND(AND(A244-AY244&lt;200,A244-AY244&gt;9),OR(AND(A244&gt;75,X244="Final Handicap"),AND(A244&gt;25,X244="1st half Handicap")),OR(AND(BK244&gt;20,U244&lt;T244,E244&gt;45),AND(BK244&lt;-20,U244&gt;T244,E244&lt;55)))),"GOOD","")</f>
        <v/>
      </c>
      <c r="BS244" s="21"/>
    </row>
    <row r="245" spans="1:71" ht="17.25" x14ac:dyDescent="0.3">
      <c r="A245" s="3"/>
      <c r="D245" s="8" t="str">
        <f>IF(ISBLANK(T245),"",CONCATENATE(T245,"-",U245))</f>
        <v/>
      </c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>
        <f>IF(NOT(ISBLANK(G245)),ABS(G245),0)</f>
        <v>0</v>
      </c>
      <c r="BM245">
        <f>IF(NOT(ISBLANK(AK245)),ABS(AK245),0)</f>
        <v>0</v>
      </c>
      <c r="BN245">
        <f>IF(NOT(ISBLANK(AX245)),ABS(AX245),0)</f>
        <v>0</v>
      </c>
      <c r="BO245">
        <f>IF(NOT(ISBLANK(BK245)),ABS(BK245),0)</f>
        <v>0</v>
      </c>
      <c r="BP245">
        <f>IF(ISBLANK(E245),0,ABS(E245-50))</f>
        <v>0</v>
      </c>
      <c r="BQ245" s="21" t="str">
        <f>IF(OR(ISBLANK(V245),ISBLANK(W245)),"",IF(SUM(V245,W245)=0,"",CONCATENATE(V245,"-",W245)))</f>
        <v/>
      </c>
      <c r="BR245" s="21" t="str">
        <f>IF(OR(AND(OR(AND(A245&gt;75,X245="Final Handicap"),AND(A245&gt;25,X245="1st half Handicap")),OR(AND(G245&gt;20,U245&lt;T245,E245&gt;45),AND(G245&lt;-20,U245&gt;T245,E245&lt;55))),AND(AND(A245-Y245&lt;200,A245-Y245&gt;9),OR(AND(A245&gt;75,X245="Final Handicap"),AND(A245&gt;25,X245="1st half Handicap")),OR(AND(AK245&gt;20,U245&lt;T245,E245&gt;45),AND(AK245&lt;-20,U245&gt;T245,E245&lt;55))),AND(AND(A245-AL245&lt;200,A245-AL245&gt;9),OR(AND(A245&gt;75,X245="Final Handicap"),AND(A245&gt;25,X245="1st half Handicap")),OR(AND(AX245&gt;20,U245&lt;T245,E245&gt;45),AND(AX245&lt;-20,U245&gt;T245,E245&lt;55))),AND(AND(A245-AY245&lt;200,A245-AY245&gt;9),OR(AND(A245&gt;75,X245="Final Handicap"),AND(A245&gt;25,X245="1st half Handicap")),OR(AND(BK245&gt;20,U245&lt;T245,E245&gt;45),AND(BK245&lt;-20,U245&gt;T245,E245&lt;55)))),"GOOD","")</f>
        <v/>
      </c>
      <c r="BS245" s="21"/>
    </row>
    <row r="246" spans="1:71" ht="17.25" x14ac:dyDescent="0.3">
      <c r="A246" s="3"/>
      <c r="D246" s="8" t="str">
        <f>IF(ISBLANK(T246),"",CONCATENATE(T246,"-",U246))</f>
        <v/>
      </c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>
        <f>IF(NOT(ISBLANK(G246)),ABS(G246),0)</f>
        <v>0</v>
      </c>
      <c r="BM246">
        <f>IF(NOT(ISBLANK(AK246)),ABS(AK246),0)</f>
        <v>0</v>
      </c>
      <c r="BN246">
        <f>IF(NOT(ISBLANK(AX246)),ABS(AX246),0)</f>
        <v>0</v>
      </c>
      <c r="BO246">
        <f>IF(NOT(ISBLANK(BK246)),ABS(BK246),0)</f>
        <v>0</v>
      </c>
      <c r="BP246">
        <f>IF(ISBLANK(E246),0,ABS(E246-50))</f>
        <v>0</v>
      </c>
      <c r="BQ246" s="21" t="str">
        <f>IF(OR(ISBLANK(V246),ISBLANK(W246)),"",IF(SUM(V246,W246)=0,"",CONCATENATE(V246,"-",W246)))</f>
        <v/>
      </c>
      <c r="BR246" s="21" t="str">
        <f>IF(OR(AND(OR(AND(A246&gt;75,X246="Final Handicap"),AND(A246&gt;25,X246="1st half Handicap")),OR(AND(G246&gt;20,U246&lt;T246,E246&gt;45),AND(G246&lt;-20,U246&gt;T246,E246&lt;55))),AND(AND(A246-Y246&lt;200,A246-Y246&gt;9),OR(AND(A246&gt;75,X246="Final Handicap"),AND(A246&gt;25,X246="1st half Handicap")),OR(AND(AK246&gt;20,U246&lt;T246,E246&gt;45),AND(AK246&lt;-20,U246&gt;T246,E246&lt;55))),AND(AND(A246-AL246&lt;200,A246-AL246&gt;9),OR(AND(A246&gt;75,X246="Final Handicap"),AND(A246&gt;25,X246="1st half Handicap")),OR(AND(AX246&gt;20,U246&lt;T246,E246&gt;45),AND(AX246&lt;-20,U246&gt;T246,E246&lt;55))),AND(AND(A246-AY246&lt;200,A246-AY246&gt;9),OR(AND(A246&gt;75,X246="Final Handicap"),AND(A246&gt;25,X246="1st half Handicap")),OR(AND(BK246&gt;20,U246&lt;T246,E246&gt;45),AND(BK246&lt;-20,U246&gt;T246,E246&lt;55)))),"GOOD","")</f>
        <v/>
      </c>
      <c r="BS246" s="21"/>
    </row>
    <row r="247" spans="1:71" ht="17.25" x14ac:dyDescent="0.3">
      <c r="A247" s="3"/>
      <c r="D247" s="8" t="str">
        <f>IF(ISBLANK(T247),"",CONCATENATE(T247,"-",U247))</f>
        <v/>
      </c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>
        <f>IF(NOT(ISBLANK(G247)),ABS(G247),0)</f>
        <v>0</v>
      </c>
      <c r="BM247">
        <f>IF(NOT(ISBLANK(AK247)),ABS(AK247),0)</f>
        <v>0</v>
      </c>
      <c r="BN247">
        <f>IF(NOT(ISBLANK(AX247)),ABS(AX247),0)</f>
        <v>0</v>
      </c>
      <c r="BO247">
        <f>IF(NOT(ISBLANK(BK247)),ABS(BK247),0)</f>
        <v>0</v>
      </c>
      <c r="BP247">
        <f>IF(ISBLANK(E247),0,ABS(E247-50))</f>
        <v>0</v>
      </c>
      <c r="BQ247" s="21" t="str">
        <f>IF(OR(ISBLANK(V247),ISBLANK(W247)),"",IF(SUM(V247,W247)=0,"",CONCATENATE(V247,"-",W247)))</f>
        <v/>
      </c>
      <c r="BR247" s="21" t="str">
        <f>IF(OR(AND(OR(AND(A247&gt;75,X247="Final Handicap"),AND(A247&gt;25,X247="1st half Handicap")),OR(AND(G247&gt;20,U247&lt;T247,E247&gt;45),AND(G247&lt;-20,U247&gt;T247,E247&lt;55))),AND(AND(A247-Y247&lt;200,A247-Y247&gt;9),OR(AND(A247&gt;75,X247="Final Handicap"),AND(A247&gt;25,X247="1st half Handicap")),OR(AND(AK247&gt;20,U247&lt;T247,E247&gt;45),AND(AK247&lt;-20,U247&gt;T247,E247&lt;55))),AND(AND(A247-AL247&lt;200,A247-AL247&gt;9),OR(AND(A247&gt;75,X247="Final Handicap"),AND(A247&gt;25,X247="1st half Handicap")),OR(AND(AX247&gt;20,U247&lt;T247,E247&gt;45),AND(AX247&lt;-20,U247&gt;T247,E247&lt;55))),AND(AND(A247-AY247&lt;200,A247-AY247&gt;9),OR(AND(A247&gt;75,X247="Final Handicap"),AND(A247&gt;25,X247="1st half Handicap")),OR(AND(BK247&gt;20,U247&lt;T247,E247&gt;45),AND(BK247&lt;-20,U247&gt;T247,E247&lt;55)))),"GOOD","")</f>
        <v/>
      </c>
      <c r="BS247" s="21"/>
    </row>
    <row r="248" spans="1:71" ht="17.25" x14ac:dyDescent="0.3">
      <c r="A248" s="3"/>
      <c r="D248" s="8" t="str">
        <f>IF(ISBLANK(T248),"",CONCATENATE(T248,"-",U248))</f>
        <v/>
      </c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>
        <f>IF(NOT(ISBLANK(G248)),ABS(G248),0)</f>
        <v>0</v>
      </c>
      <c r="BM248">
        <f>IF(NOT(ISBLANK(AK248)),ABS(AK248),0)</f>
        <v>0</v>
      </c>
      <c r="BN248">
        <f>IF(NOT(ISBLANK(AX248)),ABS(AX248),0)</f>
        <v>0</v>
      </c>
      <c r="BO248">
        <f>IF(NOT(ISBLANK(BK248)),ABS(BK248),0)</f>
        <v>0</v>
      </c>
      <c r="BP248">
        <f>IF(ISBLANK(E248),0,ABS(E248-50))</f>
        <v>0</v>
      </c>
      <c r="BQ248" s="21" t="str">
        <f>IF(OR(ISBLANK(V248),ISBLANK(W248)),"",IF(SUM(V248,W248)=0,"",CONCATENATE(V248,"-",W248)))</f>
        <v/>
      </c>
      <c r="BR248" s="21" t="str">
        <f>IF(OR(AND(OR(AND(A248&gt;75,X248="Final Handicap"),AND(A248&gt;25,X248="1st half Handicap")),OR(AND(G248&gt;20,U248&lt;T248,E248&gt;45),AND(G248&lt;-20,U248&gt;T248,E248&lt;55))),AND(AND(A248-Y248&lt;200,A248-Y248&gt;9),OR(AND(A248&gt;75,X248="Final Handicap"),AND(A248&gt;25,X248="1st half Handicap")),OR(AND(AK248&gt;20,U248&lt;T248,E248&gt;45),AND(AK248&lt;-20,U248&gt;T248,E248&lt;55))),AND(AND(A248-AL248&lt;200,A248-AL248&gt;9),OR(AND(A248&gt;75,X248="Final Handicap"),AND(A248&gt;25,X248="1st half Handicap")),OR(AND(AX248&gt;20,U248&lt;T248,E248&gt;45),AND(AX248&lt;-20,U248&gt;T248,E248&lt;55))),AND(AND(A248-AY248&lt;200,A248-AY248&gt;9),OR(AND(A248&gt;75,X248="Final Handicap"),AND(A248&gt;25,X248="1st half Handicap")),OR(AND(BK248&gt;20,U248&lt;T248,E248&gt;45),AND(BK248&lt;-20,U248&gt;T248,E248&lt;55)))),"GOOD","")</f>
        <v/>
      </c>
      <c r="BS248" s="21"/>
    </row>
    <row r="249" spans="1:71" ht="17.25" x14ac:dyDescent="0.3">
      <c r="A249" s="3"/>
      <c r="D249" s="8" t="str">
        <f>IF(ISBLANK(T249),"",CONCATENATE(T249,"-",U249))</f>
        <v/>
      </c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>
        <f>IF(NOT(ISBLANK(G249)),ABS(G249),0)</f>
        <v>0</v>
      </c>
      <c r="BM249">
        <f>IF(NOT(ISBLANK(AK249)),ABS(AK249),0)</f>
        <v>0</v>
      </c>
      <c r="BN249">
        <f>IF(NOT(ISBLANK(AX249)),ABS(AX249),0)</f>
        <v>0</v>
      </c>
      <c r="BO249">
        <f>IF(NOT(ISBLANK(BK249)),ABS(BK249),0)</f>
        <v>0</v>
      </c>
      <c r="BP249">
        <f>IF(ISBLANK(E249),0,ABS(E249-50))</f>
        <v>0</v>
      </c>
      <c r="BQ249" s="21" t="str">
        <f>IF(OR(ISBLANK(V249),ISBLANK(W249)),"",IF(SUM(V249,W249)=0,"",CONCATENATE(V249,"-",W249)))</f>
        <v/>
      </c>
      <c r="BR249" s="21" t="str">
        <f>IF(OR(AND(OR(AND(A249&gt;75,X249="Final Handicap"),AND(A249&gt;25,X249="1st half Handicap")),OR(AND(G249&gt;20,U249&lt;T249,E249&gt;45),AND(G249&lt;-20,U249&gt;T249,E249&lt;55))),AND(AND(A249-Y249&lt;200,A249-Y249&gt;9),OR(AND(A249&gt;75,X249="Final Handicap"),AND(A249&gt;25,X249="1st half Handicap")),OR(AND(AK249&gt;20,U249&lt;T249,E249&gt;45),AND(AK249&lt;-20,U249&gt;T249,E249&lt;55))),AND(AND(A249-AL249&lt;200,A249-AL249&gt;9),OR(AND(A249&gt;75,X249="Final Handicap"),AND(A249&gt;25,X249="1st half Handicap")),OR(AND(AX249&gt;20,U249&lt;T249,E249&gt;45),AND(AX249&lt;-20,U249&gt;T249,E249&lt;55))),AND(AND(A249-AY249&lt;200,A249-AY249&gt;9),OR(AND(A249&gt;75,X249="Final Handicap"),AND(A249&gt;25,X249="1st half Handicap")),OR(AND(BK249&gt;20,U249&lt;T249,E249&gt;45),AND(BK249&lt;-20,U249&gt;T249,E249&lt;55)))),"GOOD","")</f>
        <v/>
      </c>
      <c r="BS249" s="21"/>
    </row>
    <row r="250" spans="1:71" ht="17.25" x14ac:dyDescent="0.3">
      <c r="A250" s="3"/>
      <c r="D250" s="8" t="str">
        <f>IF(ISBLANK(T250),"",CONCATENATE(T250,"-",U250))</f>
        <v/>
      </c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>
        <f>IF(NOT(ISBLANK(G250)),ABS(G250),0)</f>
        <v>0</v>
      </c>
      <c r="BM250">
        <f>IF(NOT(ISBLANK(AK250)),ABS(AK250),0)</f>
        <v>0</v>
      </c>
      <c r="BN250">
        <f>IF(NOT(ISBLANK(AX250)),ABS(AX250),0)</f>
        <v>0</v>
      </c>
      <c r="BO250">
        <f>IF(NOT(ISBLANK(BK250)),ABS(BK250),0)</f>
        <v>0</v>
      </c>
      <c r="BP250">
        <f>IF(ISBLANK(E250),0,ABS(E250-50))</f>
        <v>0</v>
      </c>
      <c r="BQ250" s="21" t="str">
        <f>IF(OR(ISBLANK(V250),ISBLANK(W250)),"",IF(SUM(V250,W250)=0,"",CONCATENATE(V250,"-",W250)))</f>
        <v/>
      </c>
      <c r="BR250" s="21" t="str">
        <f>IF(OR(AND(OR(AND(A250&gt;75,X250="Final Handicap"),AND(A250&gt;25,X250="1st half Handicap")),OR(AND(G250&gt;20,U250&lt;T250,E250&gt;45),AND(G250&lt;-20,U250&gt;T250,E250&lt;55))),AND(AND(A250-Y250&lt;200,A250-Y250&gt;9),OR(AND(A250&gt;75,X250="Final Handicap"),AND(A250&gt;25,X250="1st half Handicap")),OR(AND(AK250&gt;20,U250&lt;T250,E250&gt;45),AND(AK250&lt;-20,U250&gt;T250,E250&lt;55))),AND(AND(A250-AL250&lt;200,A250-AL250&gt;9),OR(AND(A250&gt;75,X250="Final Handicap"),AND(A250&gt;25,X250="1st half Handicap")),OR(AND(AX250&gt;20,U250&lt;T250,E250&gt;45),AND(AX250&lt;-20,U250&gt;T250,E250&lt;55))),AND(AND(A250-AY250&lt;200,A250-AY250&gt;9),OR(AND(A250&gt;75,X250="Final Handicap"),AND(A250&gt;25,X250="1st half Handicap")),OR(AND(BK250&gt;20,U250&lt;T250,E250&gt;45),AND(BK250&lt;-20,U250&gt;T250,E250&lt;55)))),"GOOD","")</f>
        <v/>
      </c>
      <c r="BS250" s="21"/>
    </row>
    <row r="251" spans="1:71" ht="17.25" x14ac:dyDescent="0.3">
      <c r="A251" s="3"/>
      <c r="D251" s="8" t="str">
        <f>IF(ISBLANK(T251),"",CONCATENATE(T251,"-",U251))</f>
        <v/>
      </c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>
        <f>IF(NOT(ISBLANK(G251)),ABS(G251),0)</f>
        <v>0</v>
      </c>
      <c r="BM251">
        <f>IF(NOT(ISBLANK(AK251)),ABS(AK251),0)</f>
        <v>0</v>
      </c>
      <c r="BN251">
        <f>IF(NOT(ISBLANK(AX251)),ABS(AX251),0)</f>
        <v>0</v>
      </c>
      <c r="BO251">
        <f>IF(NOT(ISBLANK(BK251)),ABS(BK251),0)</f>
        <v>0</v>
      </c>
      <c r="BP251">
        <f>IF(ISBLANK(E251),0,ABS(E251-50))</f>
        <v>0</v>
      </c>
      <c r="BQ251" s="21" t="str">
        <f>IF(OR(ISBLANK(V251),ISBLANK(W251)),"",IF(SUM(V251,W251)=0,"",CONCATENATE(V251,"-",W251)))</f>
        <v/>
      </c>
      <c r="BR251" s="21" t="str">
        <f>IF(OR(AND(OR(AND(A251&gt;75,X251="Final Handicap"),AND(A251&gt;25,X251="1st half Handicap")),OR(AND(G251&gt;20,U251&lt;T251,E251&gt;45),AND(G251&lt;-20,U251&gt;T251,E251&lt;55))),AND(AND(A251-Y251&lt;200,A251-Y251&gt;9),OR(AND(A251&gt;75,X251="Final Handicap"),AND(A251&gt;25,X251="1st half Handicap")),OR(AND(AK251&gt;20,U251&lt;T251,E251&gt;45),AND(AK251&lt;-20,U251&gt;T251,E251&lt;55))),AND(AND(A251-AL251&lt;200,A251-AL251&gt;9),OR(AND(A251&gt;75,X251="Final Handicap"),AND(A251&gt;25,X251="1st half Handicap")),OR(AND(AX251&gt;20,U251&lt;T251,E251&gt;45),AND(AX251&lt;-20,U251&gt;T251,E251&lt;55))),AND(AND(A251-AY251&lt;200,A251-AY251&gt;9),OR(AND(A251&gt;75,X251="Final Handicap"),AND(A251&gt;25,X251="1st half Handicap")),OR(AND(BK251&gt;20,U251&lt;T251,E251&gt;45),AND(BK251&lt;-20,U251&gt;T251,E251&lt;55)))),"GOOD","")</f>
        <v/>
      </c>
      <c r="BS251" s="21"/>
    </row>
    <row r="252" spans="1:71" ht="17.25" x14ac:dyDescent="0.3">
      <c r="A252" s="3"/>
      <c r="D252" s="8" t="str">
        <f>IF(ISBLANK(T252),"",CONCATENATE(T252,"-",U252))</f>
        <v/>
      </c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>
        <f>IF(NOT(ISBLANK(G252)),ABS(G252),0)</f>
        <v>0</v>
      </c>
      <c r="BM252">
        <f>IF(NOT(ISBLANK(AK252)),ABS(AK252),0)</f>
        <v>0</v>
      </c>
      <c r="BN252">
        <f>IF(NOT(ISBLANK(AX252)),ABS(AX252),0)</f>
        <v>0</v>
      </c>
      <c r="BO252">
        <f>IF(NOT(ISBLANK(BK252)),ABS(BK252),0)</f>
        <v>0</v>
      </c>
      <c r="BP252">
        <f>IF(ISBLANK(E252),0,ABS(E252-50))</f>
        <v>0</v>
      </c>
      <c r="BQ252" s="21" t="str">
        <f>IF(OR(ISBLANK(V252),ISBLANK(W252)),"",IF(SUM(V252,W252)=0,"",CONCATENATE(V252,"-",W252)))</f>
        <v/>
      </c>
      <c r="BR252" s="21" t="str">
        <f>IF(OR(AND(OR(AND(A252&gt;75,X252="Final Handicap"),AND(A252&gt;25,X252="1st half Handicap")),OR(AND(G252&gt;20,U252&lt;T252,E252&gt;45),AND(G252&lt;-20,U252&gt;T252,E252&lt;55))),AND(AND(A252-Y252&lt;200,A252-Y252&gt;9),OR(AND(A252&gt;75,X252="Final Handicap"),AND(A252&gt;25,X252="1st half Handicap")),OR(AND(AK252&gt;20,U252&lt;T252,E252&gt;45),AND(AK252&lt;-20,U252&gt;T252,E252&lt;55))),AND(AND(A252-AL252&lt;200,A252-AL252&gt;9),OR(AND(A252&gt;75,X252="Final Handicap"),AND(A252&gt;25,X252="1st half Handicap")),OR(AND(AX252&gt;20,U252&lt;T252,E252&gt;45),AND(AX252&lt;-20,U252&gt;T252,E252&lt;55))),AND(AND(A252-AY252&lt;200,A252-AY252&gt;9),OR(AND(A252&gt;75,X252="Final Handicap"),AND(A252&gt;25,X252="1st half Handicap")),OR(AND(BK252&gt;20,U252&lt;T252,E252&gt;45),AND(BK252&lt;-20,U252&gt;T252,E252&lt;55)))),"GOOD","")</f>
        <v/>
      </c>
      <c r="BS252" s="21"/>
    </row>
    <row r="253" spans="1:71" ht="17.25" x14ac:dyDescent="0.3">
      <c r="A253" s="3"/>
      <c r="D253" s="8" t="str">
        <f>IF(ISBLANK(T253),"",CONCATENATE(T253,"-",U253))</f>
        <v/>
      </c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>
        <f>IF(NOT(ISBLANK(G253)),ABS(G253),0)</f>
        <v>0</v>
      </c>
      <c r="BM253">
        <f>IF(NOT(ISBLANK(AK253)),ABS(AK253),0)</f>
        <v>0</v>
      </c>
      <c r="BN253">
        <f>IF(NOT(ISBLANK(AX253)),ABS(AX253),0)</f>
        <v>0</v>
      </c>
      <c r="BO253">
        <f>IF(NOT(ISBLANK(BK253)),ABS(BK253),0)</f>
        <v>0</v>
      </c>
      <c r="BP253">
        <f>IF(ISBLANK(E253),0,ABS(E253-50))</f>
        <v>0</v>
      </c>
      <c r="BQ253" s="21" t="str">
        <f>IF(OR(ISBLANK(V253),ISBLANK(W253)),"",IF(SUM(V253,W253)=0,"",CONCATENATE(V253,"-",W253)))</f>
        <v/>
      </c>
      <c r="BR253" s="21" t="str">
        <f>IF(OR(AND(OR(AND(A253&gt;75,X253="Final Handicap"),AND(A253&gt;25,X253="1st half Handicap")),OR(AND(G253&gt;20,U253&lt;T253,E253&gt;45),AND(G253&lt;-20,U253&gt;T253,E253&lt;55))),AND(AND(A253-Y253&lt;200,A253-Y253&gt;9),OR(AND(A253&gt;75,X253="Final Handicap"),AND(A253&gt;25,X253="1st half Handicap")),OR(AND(AK253&gt;20,U253&lt;T253,E253&gt;45),AND(AK253&lt;-20,U253&gt;T253,E253&lt;55))),AND(AND(A253-AL253&lt;200,A253-AL253&gt;9),OR(AND(A253&gt;75,X253="Final Handicap"),AND(A253&gt;25,X253="1st half Handicap")),OR(AND(AX253&gt;20,U253&lt;T253,E253&gt;45),AND(AX253&lt;-20,U253&gt;T253,E253&lt;55))),AND(AND(A253-AY253&lt;200,A253-AY253&gt;9),OR(AND(A253&gt;75,X253="Final Handicap"),AND(A253&gt;25,X253="1st half Handicap")),OR(AND(BK253&gt;20,U253&lt;T253,E253&gt;45),AND(BK253&lt;-20,U253&gt;T253,E253&lt;55)))),"GOOD","")</f>
        <v/>
      </c>
      <c r="BS253" s="21"/>
    </row>
    <row r="254" spans="1:71" ht="17.25" x14ac:dyDescent="0.3">
      <c r="A254" s="3"/>
      <c r="D254" s="8" t="str">
        <f>IF(ISBLANK(T254),"",CONCATENATE(T254,"-",U254))</f>
        <v/>
      </c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>
        <f>IF(NOT(ISBLANK(G254)),ABS(G254),0)</f>
        <v>0</v>
      </c>
      <c r="BM254">
        <f>IF(NOT(ISBLANK(AK254)),ABS(AK254),0)</f>
        <v>0</v>
      </c>
      <c r="BN254">
        <f>IF(NOT(ISBLANK(AX254)),ABS(AX254),0)</f>
        <v>0</v>
      </c>
      <c r="BO254">
        <f>IF(NOT(ISBLANK(BK254)),ABS(BK254),0)</f>
        <v>0</v>
      </c>
      <c r="BP254">
        <f>IF(ISBLANK(E254),0,ABS(E254-50))</f>
        <v>0</v>
      </c>
      <c r="BQ254" s="21" t="str">
        <f>IF(OR(ISBLANK(V254),ISBLANK(W254)),"",IF(SUM(V254,W254)=0,"",CONCATENATE(V254,"-",W254)))</f>
        <v/>
      </c>
      <c r="BR254" s="21" t="str">
        <f>IF(OR(AND(OR(AND(A254&gt;75,X254="Final Handicap"),AND(A254&gt;25,X254="1st half Handicap")),OR(AND(G254&gt;20,U254&lt;T254,E254&gt;45),AND(G254&lt;-20,U254&gt;T254,E254&lt;55))),AND(AND(A254-Y254&lt;200,A254-Y254&gt;9),OR(AND(A254&gt;75,X254="Final Handicap"),AND(A254&gt;25,X254="1st half Handicap")),OR(AND(AK254&gt;20,U254&lt;T254,E254&gt;45),AND(AK254&lt;-20,U254&gt;T254,E254&lt;55))),AND(AND(A254-AL254&lt;200,A254-AL254&gt;9),OR(AND(A254&gt;75,X254="Final Handicap"),AND(A254&gt;25,X254="1st half Handicap")),OR(AND(AX254&gt;20,U254&lt;T254,E254&gt;45),AND(AX254&lt;-20,U254&gt;T254,E254&lt;55))),AND(AND(A254-AY254&lt;200,A254-AY254&gt;9),OR(AND(A254&gt;75,X254="Final Handicap"),AND(A254&gt;25,X254="1st half Handicap")),OR(AND(BK254&gt;20,U254&lt;T254,E254&gt;45),AND(BK254&lt;-20,U254&gt;T254,E254&lt;55)))),"GOOD","")</f>
        <v/>
      </c>
      <c r="BS254" s="21"/>
    </row>
    <row r="255" spans="1:71" ht="17.25" x14ac:dyDescent="0.3">
      <c r="A255" s="3"/>
      <c r="D255" s="8" t="str">
        <f>IF(ISBLANK(T255),"",CONCATENATE(T255,"-",U255))</f>
        <v/>
      </c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>
        <f>IF(NOT(ISBLANK(G255)),ABS(G255),0)</f>
        <v>0</v>
      </c>
      <c r="BM255">
        <f>IF(NOT(ISBLANK(AK255)),ABS(AK255),0)</f>
        <v>0</v>
      </c>
      <c r="BN255">
        <f>IF(NOT(ISBLANK(AX255)),ABS(AX255),0)</f>
        <v>0</v>
      </c>
      <c r="BO255">
        <f>IF(NOT(ISBLANK(BK255)),ABS(BK255),0)</f>
        <v>0</v>
      </c>
      <c r="BP255">
        <f>IF(ISBLANK(E255),0,ABS(E255-50))</f>
        <v>0</v>
      </c>
      <c r="BQ255" s="21" t="str">
        <f>IF(OR(ISBLANK(V255),ISBLANK(W255)),"",IF(SUM(V255,W255)=0,"",CONCATENATE(V255,"-",W255)))</f>
        <v/>
      </c>
      <c r="BR255" s="21" t="str">
        <f>IF(OR(AND(OR(AND(A255&gt;75,X255="Final Handicap"),AND(A255&gt;25,X255="1st half Handicap")),OR(AND(G255&gt;20,U255&lt;T255,E255&gt;45),AND(G255&lt;-20,U255&gt;T255,E255&lt;55))),AND(AND(A255-Y255&lt;200,A255-Y255&gt;9),OR(AND(A255&gt;75,X255="Final Handicap"),AND(A255&gt;25,X255="1st half Handicap")),OR(AND(AK255&gt;20,U255&lt;T255,E255&gt;45),AND(AK255&lt;-20,U255&gt;T255,E255&lt;55))),AND(AND(A255-AL255&lt;200,A255-AL255&gt;9),OR(AND(A255&gt;75,X255="Final Handicap"),AND(A255&gt;25,X255="1st half Handicap")),OR(AND(AX255&gt;20,U255&lt;T255,E255&gt;45),AND(AX255&lt;-20,U255&gt;T255,E255&lt;55))),AND(AND(A255-AY255&lt;200,A255-AY255&gt;9),OR(AND(A255&gt;75,X255="Final Handicap"),AND(A255&gt;25,X255="1st half Handicap")),OR(AND(BK255&gt;20,U255&lt;T255,E255&gt;45),AND(BK255&lt;-20,U255&gt;T255,E255&lt;55)))),"GOOD","")</f>
        <v/>
      </c>
      <c r="BS255" s="21"/>
    </row>
    <row r="256" spans="1:71" ht="17.25" x14ac:dyDescent="0.3">
      <c r="A256" s="3"/>
      <c r="D256" s="8" t="str">
        <f>IF(ISBLANK(T256),"",CONCATENATE(T256,"-",U256))</f>
        <v/>
      </c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>
        <f>IF(NOT(ISBLANK(G256)),ABS(G256),0)</f>
        <v>0</v>
      </c>
      <c r="BM256">
        <f>IF(NOT(ISBLANK(AK256)),ABS(AK256),0)</f>
        <v>0</v>
      </c>
      <c r="BN256">
        <f>IF(NOT(ISBLANK(AX256)),ABS(AX256),0)</f>
        <v>0</v>
      </c>
      <c r="BO256">
        <f>IF(NOT(ISBLANK(BK256)),ABS(BK256),0)</f>
        <v>0</v>
      </c>
      <c r="BP256">
        <f>IF(ISBLANK(E256),0,ABS(E256-50))</f>
        <v>0</v>
      </c>
      <c r="BQ256" s="21" t="str">
        <f>IF(OR(ISBLANK(V256),ISBLANK(W256)),"",IF(SUM(V256,W256)=0,"",CONCATENATE(V256,"-",W256)))</f>
        <v/>
      </c>
      <c r="BR256" s="21" t="str">
        <f>IF(OR(AND(OR(AND(A256&gt;75,X256="Final Handicap"),AND(A256&gt;25,X256="1st half Handicap")),OR(AND(G256&gt;20,U256&lt;T256,E256&gt;45),AND(G256&lt;-20,U256&gt;T256,E256&lt;55))),AND(AND(A256-Y256&lt;200,A256-Y256&gt;9),OR(AND(A256&gt;75,X256="Final Handicap"),AND(A256&gt;25,X256="1st half Handicap")),OR(AND(AK256&gt;20,U256&lt;T256,E256&gt;45),AND(AK256&lt;-20,U256&gt;T256,E256&lt;55))),AND(AND(A256-AL256&lt;200,A256-AL256&gt;9),OR(AND(A256&gt;75,X256="Final Handicap"),AND(A256&gt;25,X256="1st half Handicap")),OR(AND(AX256&gt;20,U256&lt;T256,E256&gt;45),AND(AX256&lt;-20,U256&gt;T256,E256&lt;55))),AND(AND(A256-AY256&lt;200,A256-AY256&gt;9),OR(AND(A256&gt;75,X256="Final Handicap"),AND(A256&gt;25,X256="1st half Handicap")),OR(AND(BK256&gt;20,U256&lt;T256,E256&gt;45),AND(BK256&lt;-20,U256&gt;T256,E256&lt;55)))),"GOOD","")</f>
        <v/>
      </c>
      <c r="BS256" s="21"/>
    </row>
    <row r="257" spans="1:71" ht="17.25" x14ac:dyDescent="0.3">
      <c r="A257" s="3"/>
      <c r="D257" s="8" t="str">
        <f>IF(ISBLANK(T257),"",CONCATENATE(T257,"-",U257))</f>
        <v/>
      </c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>
        <f>IF(NOT(ISBLANK(G257)),ABS(G257),0)</f>
        <v>0</v>
      </c>
      <c r="BM257">
        <f>IF(NOT(ISBLANK(AK257)),ABS(AK257),0)</f>
        <v>0</v>
      </c>
      <c r="BN257">
        <f>IF(NOT(ISBLANK(AX257)),ABS(AX257),0)</f>
        <v>0</v>
      </c>
      <c r="BO257">
        <f>IF(NOT(ISBLANK(BK257)),ABS(BK257),0)</f>
        <v>0</v>
      </c>
      <c r="BP257">
        <f>IF(ISBLANK(E257),0,ABS(E257-50))</f>
        <v>0</v>
      </c>
      <c r="BQ257" s="21" t="str">
        <f>IF(OR(ISBLANK(V257),ISBLANK(W257)),"",IF(SUM(V257,W257)=0,"",CONCATENATE(V257,"-",W257)))</f>
        <v/>
      </c>
      <c r="BR257" s="21" t="str">
        <f>IF(OR(AND(OR(AND(A257&gt;75,X257="Final Handicap"),AND(A257&gt;25,X257="1st half Handicap")),OR(AND(G257&gt;20,U257&lt;T257,E257&gt;45),AND(G257&lt;-20,U257&gt;T257,E257&lt;55))),AND(AND(A257-Y257&lt;200,A257-Y257&gt;9),OR(AND(A257&gt;75,X257="Final Handicap"),AND(A257&gt;25,X257="1st half Handicap")),OR(AND(AK257&gt;20,U257&lt;T257,E257&gt;45),AND(AK257&lt;-20,U257&gt;T257,E257&lt;55))),AND(AND(A257-AL257&lt;200,A257-AL257&gt;9),OR(AND(A257&gt;75,X257="Final Handicap"),AND(A257&gt;25,X257="1st half Handicap")),OR(AND(AX257&gt;20,U257&lt;T257,E257&gt;45),AND(AX257&lt;-20,U257&gt;T257,E257&lt;55))),AND(AND(A257-AY257&lt;200,A257-AY257&gt;9),OR(AND(A257&gt;75,X257="Final Handicap"),AND(A257&gt;25,X257="1st half Handicap")),OR(AND(BK257&gt;20,U257&lt;T257,E257&gt;45),AND(BK257&lt;-20,U257&gt;T257,E257&lt;55)))),"GOOD","")</f>
        <v/>
      </c>
      <c r="BS257" s="21"/>
    </row>
    <row r="258" spans="1:71" ht="17.25" x14ac:dyDescent="0.3">
      <c r="A258" s="3"/>
      <c r="D258" s="8" t="str">
        <f>IF(ISBLANK(T258),"",CONCATENATE(T258,"-",U258))</f>
        <v/>
      </c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>
        <f>IF(NOT(ISBLANK(G258)),ABS(G258),0)</f>
        <v>0</v>
      </c>
      <c r="BM258">
        <f>IF(NOT(ISBLANK(AK258)),ABS(AK258),0)</f>
        <v>0</v>
      </c>
      <c r="BN258">
        <f>IF(NOT(ISBLANK(AX258)),ABS(AX258),0)</f>
        <v>0</v>
      </c>
      <c r="BO258">
        <f>IF(NOT(ISBLANK(BK258)),ABS(BK258),0)</f>
        <v>0</v>
      </c>
      <c r="BP258">
        <f>IF(ISBLANK(E258),0,ABS(E258-50))</f>
        <v>0</v>
      </c>
      <c r="BQ258" s="21" t="str">
        <f>IF(OR(ISBLANK(V258),ISBLANK(W258)),"",IF(SUM(V258,W258)=0,"",CONCATENATE(V258,"-",W258)))</f>
        <v/>
      </c>
      <c r="BR258" s="21" t="str">
        <f>IF(OR(AND(OR(AND(A258&gt;75,X258="Final Handicap"),AND(A258&gt;25,X258="1st half Handicap")),OR(AND(G258&gt;20,U258&lt;T258,E258&gt;45),AND(G258&lt;-20,U258&gt;T258,E258&lt;55))),AND(AND(A258-Y258&lt;200,A258-Y258&gt;9),OR(AND(A258&gt;75,X258="Final Handicap"),AND(A258&gt;25,X258="1st half Handicap")),OR(AND(AK258&gt;20,U258&lt;T258,E258&gt;45),AND(AK258&lt;-20,U258&gt;T258,E258&lt;55))),AND(AND(A258-AL258&lt;200,A258-AL258&gt;9),OR(AND(A258&gt;75,X258="Final Handicap"),AND(A258&gt;25,X258="1st half Handicap")),OR(AND(AX258&gt;20,U258&lt;T258,E258&gt;45),AND(AX258&lt;-20,U258&gt;T258,E258&lt;55))),AND(AND(A258-AY258&lt;200,A258-AY258&gt;9),OR(AND(A258&gt;75,X258="Final Handicap"),AND(A258&gt;25,X258="1st half Handicap")),OR(AND(BK258&gt;20,U258&lt;T258,E258&gt;45),AND(BK258&lt;-20,U258&gt;T258,E258&lt;55)))),"GOOD","")</f>
        <v/>
      </c>
      <c r="BS258" s="21"/>
    </row>
    <row r="259" spans="1:71" ht="17.25" x14ac:dyDescent="0.3">
      <c r="A259" s="3"/>
      <c r="D259" s="8" t="str">
        <f>IF(ISBLANK(T259),"",CONCATENATE(T259,"-",U259))</f>
        <v/>
      </c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>
        <f>IF(NOT(ISBLANK(G259)),ABS(G259),0)</f>
        <v>0</v>
      </c>
      <c r="BM259">
        <f>IF(NOT(ISBLANK(AK259)),ABS(AK259),0)</f>
        <v>0</v>
      </c>
      <c r="BN259">
        <f>IF(NOT(ISBLANK(AX259)),ABS(AX259),0)</f>
        <v>0</v>
      </c>
      <c r="BO259">
        <f>IF(NOT(ISBLANK(BK259)),ABS(BK259),0)</f>
        <v>0</v>
      </c>
      <c r="BP259">
        <f>IF(ISBLANK(E259),0,ABS(E259-50))</f>
        <v>0</v>
      </c>
      <c r="BQ259" s="21" t="str">
        <f>IF(OR(ISBLANK(V259),ISBLANK(W259)),"",IF(SUM(V259,W259)=0,"",CONCATENATE(V259,"-",W259)))</f>
        <v/>
      </c>
      <c r="BR259" s="21" t="str">
        <f>IF(OR(AND(OR(AND(A259&gt;75,X259="Final Handicap"),AND(A259&gt;25,X259="1st half Handicap")),OR(AND(G259&gt;20,U259&lt;T259,E259&gt;45),AND(G259&lt;-20,U259&gt;T259,E259&lt;55))),AND(AND(A259-Y259&lt;200,A259-Y259&gt;9),OR(AND(A259&gt;75,X259="Final Handicap"),AND(A259&gt;25,X259="1st half Handicap")),OR(AND(AK259&gt;20,U259&lt;T259,E259&gt;45),AND(AK259&lt;-20,U259&gt;T259,E259&lt;55))),AND(AND(A259-AL259&lt;200,A259-AL259&gt;9),OR(AND(A259&gt;75,X259="Final Handicap"),AND(A259&gt;25,X259="1st half Handicap")),OR(AND(AX259&gt;20,U259&lt;T259,E259&gt;45),AND(AX259&lt;-20,U259&gt;T259,E259&lt;55))),AND(AND(A259-AY259&lt;200,A259-AY259&gt;9),OR(AND(A259&gt;75,X259="Final Handicap"),AND(A259&gt;25,X259="1st half Handicap")),OR(AND(BK259&gt;20,U259&lt;T259,E259&gt;45),AND(BK259&lt;-20,U259&gt;T259,E259&lt;55)))),"GOOD","")</f>
        <v/>
      </c>
      <c r="BS259" s="21"/>
    </row>
    <row r="260" spans="1:71" ht="17.25" x14ac:dyDescent="0.3">
      <c r="A260" s="3"/>
      <c r="D260" s="8" t="str">
        <f>IF(ISBLANK(T260),"",CONCATENATE(T260,"-",U260))</f>
        <v/>
      </c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>
        <f>IF(NOT(ISBLANK(G260)),ABS(G260),0)</f>
        <v>0</v>
      </c>
      <c r="BM260">
        <f>IF(NOT(ISBLANK(AK260)),ABS(AK260),0)</f>
        <v>0</v>
      </c>
      <c r="BN260">
        <f>IF(NOT(ISBLANK(AX260)),ABS(AX260),0)</f>
        <v>0</v>
      </c>
      <c r="BO260">
        <f>IF(NOT(ISBLANK(BK260)),ABS(BK260),0)</f>
        <v>0</v>
      </c>
      <c r="BP260">
        <f>IF(ISBLANK(E260),0,ABS(E260-50))</f>
        <v>0</v>
      </c>
      <c r="BQ260" s="21" t="str">
        <f>IF(OR(ISBLANK(V260),ISBLANK(W260)),"",IF(SUM(V260,W260)=0,"",CONCATENATE(V260,"-",W260)))</f>
        <v/>
      </c>
      <c r="BR260" s="21" t="str">
        <f>IF(OR(AND(OR(AND(A260&gt;75,X260="Final Handicap"),AND(A260&gt;25,X260="1st half Handicap")),OR(AND(G260&gt;20,U260&lt;T260,E260&gt;45),AND(G260&lt;-20,U260&gt;T260,E260&lt;55))),AND(AND(A260-Y260&lt;200,A260-Y260&gt;9),OR(AND(A260&gt;75,X260="Final Handicap"),AND(A260&gt;25,X260="1st half Handicap")),OR(AND(AK260&gt;20,U260&lt;T260,E260&gt;45),AND(AK260&lt;-20,U260&gt;T260,E260&lt;55))),AND(AND(A260-AL260&lt;200,A260-AL260&gt;9),OR(AND(A260&gt;75,X260="Final Handicap"),AND(A260&gt;25,X260="1st half Handicap")),OR(AND(AX260&gt;20,U260&lt;T260,E260&gt;45),AND(AX260&lt;-20,U260&gt;T260,E260&lt;55))),AND(AND(A260-AY260&lt;200,A260-AY260&gt;9),OR(AND(A260&gt;75,X260="Final Handicap"),AND(A260&gt;25,X260="1st half Handicap")),OR(AND(BK260&gt;20,U260&lt;T260,E260&gt;45),AND(BK260&lt;-20,U260&gt;T260,E260&lt;55)))),"GOOD","")</f>
        <v/>
      </c>
      <c r="BS260" s="21"/>
    </row>
    <row r="261" spans="1:71" ht="17.25" x14ac:dyDescent="0.3">
      <c r="A261" s="3"/>
      <c r="D261" s="8" t="str">
        <f>IF(ISBLANK(T261),"",CONCATENATE(T261,"-",U261))</f>
        <v/>
      </c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>
        <f>IF(NOT(ISBLANK(G261)),ABS(G261),0)</f>
        <v>0</v>
      </c>
      <c r="BM261">
        <f>IF(NOT(ISBLANK(AK261)),ABS(AK261),0)</f>
        <v>0</v>
      </c>
      <c r="BN261">
        <f>IF(NOT(ISBLANK(AX261)),ABS(AX261),0)</f>
        <v>0</v>
      </c>
      <c r="BO261">
        <f>IF(NOT(ISBLANK(BK261)),ABS(BK261),0)</f>
        <v>0</v>
      </c>
      <c r="BP261">
        <f>IF(ISBLANK(E261),0,ABS(E261-50))</f>
        <v>0</v>
      </c>
      <c r="BQ261" s="21" t="str">
        <f>IF(OR(ISBLANK(V261),ISBLANK(W261)),"",IF(SUM(V261,W261)=0,"",CONCATENATE(V261,"-",W261)))</f>
        <v/>
      </c>
      <c r="BR261" s="21" t="str">
        <f>IF(OR(AND(OR(AND(A261&gt;75,X261="Final Handicap"),AND(A261&gt;25,X261="1st half Handicap")),OR(AND(G261&gt;20,U261&lt;T261,E261&gt;45),AND(G261&lt;-20,U261&gt;T261,E261&lt;55))),AND(AND(A261-Y261&lt;200,A261-Y261&gt;9),OR(AND(A261&gt;75,X261="Final Handicap"),AND(A261&gt;25,X261="1st half Handicap")),OR(AND(AK261&gt;20,U261&lt;T261,E261&gt;45),AND(AK261&lt;-20,U261&gt;T261,E261&lt;55))),AND(AND(A261-AL261&lt;200,A261-AL261&gt;9),OR(AND(A261&gt;75,X261="Final Handicap"),AND(A261&gt;25,X261="1st half Handicap")),OR(AND(AX261&gt;20,U261&lt;T261,E261&gt;45),AND(AX261&lt;-20,U261&gt;T261,E261&lt;55))),AND(AND(A261-AY261&lt;200,A261-AY261&gt;9),OR(AND(A261&gt;75,X261="Final Handicap"),AND(A261&gt;25,X261="1st half Handicap")),OR(AND(BK261&gt;20,U261&lt;T261,E261&gt;45),AND(BK261&lt;-20,U261&gt;T261,E261&lt;55)))),"GOOD","")</f>
        <v/>
      </c>
      <c r="BS261" s="21"/>
    </row>
    <row r="262" spans="1:71" ht="17.25" x14ac:dyDescent="0.3">
      <c r="A262" s="3"/>
      <c r="D262" s="8" t="str">
        <f>IF(ISBLANK(T262),"",CONCATENATE(T262,"-",U262))</f>
        <v/>
      </c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>
        <f>IF(NOT(ISBLANK(G262)),ABS(G262),0)</f>
        <v>0</v>
      </c>
      <c r="BM262">
        <f>IF(NOT(ISBLANK(AK262)),ABS(AK262),0)</f>
        <v>0</v>
      </c>
      <c r="BN262">
        <f>IF(NOT(ISBLANK(AX262)),ABS(AX262),0)</f>
        <v>0</v>
      </c>
      <c r="BO262">
        <f>IF(NOT(ISBLANK(BK262)),ABS(BK262),0)</f>
        <v>0</v>
      </c>
      <c r="BP262">
        <f>IF(ISBLANK(E262),0,ABS(E262-50))</f>
        <v>0</v>
      </c>
      <c r="BQ262" s="21" t="str">
        <f>IF(OR(ISBLANK(V262),ISBLANK(W262)),"",IF(SUM(V262,W262)=0,"",CONCATENATE(V262,"-",W262)))</f>
        <v/>
      </c>
      <c r="BR262" s="21" t="str">
        <f>IF(OR(AND(OR(AND(A262&gt;75,X262="Final Handicap"),AND(A262&gt;25,X262="1st half Handicap")),OR(AND(G262&gt;20,U262&lt;T262,E262&gt;45),AND(G262&lt;-20,U262&gt;T262,E262&lt;55))),AND(AND(A262-Y262&lt;200,A262-Y262&gt;9),OR(AND(A262&gt;75,X262="Final Handicap"),AND(A262&gt;25,X262="1st half Handicap")),OR(AND(AK262&gt;20,U262&lt;T262,E262&gt;45),AND(AK262&lt;-20,U262&gt;T262,E262&lt;55))),AND(AND(A262-AL262&lt;200,A262-AL262&gt;9),OR(AND(A262&gt;75,X262="Final Handicap"),AND(A262&gt;25,X262="1st half Handicap")),OR(AND(AX262&gt;20,U262&lt;T262,E262&gt;45),AND(AX262&lt;-20,U262&gt;T262,E262&lt;55))),AND(AND(A262-AY262&lt;200,A262-AY262&gt;9),OR(AND(A262&gt;75,X262="Final Handicap"),AND(A262&gt;25,X262="1st half Handicap")),OR(AND(BK262&gt;20,U262&lt;T262,E262&gt;45),AND(BK262&lt;-20,U262&gt;T262,E262&lt;55)))),"GOOD","")</f>
        <v/>
      </c>
      <c r="BS262" s="21"/>
    </row>
    <row r="263" spans="1:71" ht="17.25" x14ac:dyDescent="0.3">
      <c r="A263" s="3"/>
      <c r="D263" s="8" t="str">
        <f>IF(ISBLANK(T263),"",CONCATENATE(T263,"-",U263))</f>
        <v/>
      </c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>
        <f>IF(NOT(ISBLANK(G263)),ABS(G263),0)</f>
        <v>0</v>
      </c>
      <c r="BM263">
        <f>IF(NOT(ISBLANK(AK263)),ABS(AK263),0)</f>
        <v>0</v>
      </c>
      <c r="BN263">
        <f>IF(NOT(ISBLANK(AX263)),ABS(AX263),0)</f>
        <v>0</v>
      </c>
      <c r="BO263">
        <f>IF(NOT(ISBLANK(BK263)),ABS(BK263),0)</f>
        <v>0</v>
      </c>
      <c r="BP263">
        <f>IF(ISBLANK(E263),0,ABS(E263-50))</f>
        <v>0</v>
      </c>
      <c r="BQ263" s="21" t="str">
        <f>IF(OR(ISBLANK(V263),ISBLANK(W263)),"",IF(SUM(V263,W263)=0,"",CONCATENATE(V263,"-",W263)))</f>
        <v/>
      </c>
      <c r="BR263" s="21" t="str">
        <f>IF(OR(AND(OR(AND(A263&gt;75,X263="Final Handicap"),AND(A263&gt;25,X263="1st half Handicap")),OR(AND(G263&gt;20,U263&lt;T263,E263&gt;45),AND(G263&lt;-20,U263&gt;T263,E263&lt;55))),AND(AND(A263-Y263&lt;200,A263-Y263&gt;9),OR(AND(A263&gt;75,X263="Final Handicap"),AND(A263&gt;25,X263="1st half Handicap")),OR(AND(AK263&gt;20,U263&lt;T263,E263&gt;45),AND(AK263&lt;-20,U263&gt;T263,E263&lt;55))),AND(AND(A263-AL263&lt;200,A263-AL263&gt;9),OR(AND(A263&gt;75,X263="Final Handicap"),AND(A263&gt;25,X263="1st half Handicap")),OR(AND(AX263&gt;20,U263&lt;T263,E263&gt;45),AND(AX263&lt;-20,U263&gt;T263,E263&lt;55))),AND(AND(A263-AY263&lt;200,A263-AY263&gt;9),OR(AND(A263&gt;75,X263="Final Handicap"),AND(A263&gt;25,X263="1st half Handicap")),OR(AND(BK263&gt;20,U263&lt;T263,E263&gt;45),AND(BK263&lt;-20,U263&gt;T263,E263&lt;55)))),"GOOD","")</f>
        <v/>
      </c>
      <c r="BS263" s="21"/>
    </row>
    <row r="264" spans="1:71" ht="17.25" x14ac:dyDescent="0.3">
      <c r="A264" s="3"/>
      <c r="D264" s="8" t="str">
        <f>IF(ISBLANK(T264),"",CONCATENATE(T264,"-",U264))</f>
        <v/>
      </c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>
        <f>IF(NOT(ISBLANK(G264)),ABS(G264),0)</f>
        <v>0</v>
      </c>
      <c r="BM264">
        <f>IF(NOT(ISBLANK(AK264)),ABS(AK264),0)</f>
        <v>0</v>
      </c>
      <c r="BN264">
        <f>IF(NOT(ISBLANK(AX264)),ABS(AX264),0)</f>
        <v>0</v>
      </c>
      <c r="BO264">
        <f>IF(NOT(ISBLANK(BK264)),ABS(BK264),0)</f>
        <v>0</v>
      </c>
      <c r="BP264">
        <f>IF(ISBLANK(E264),0,ABS(E264-50))</f>
        <v>0</v>
      </c>
      <c r="BQ264" s="21" t="str">
        <f>IF(OR(ISBLANK(V264),ISBLANK(W264)),"",IF(SUM(V264,W264)=0,"",CONCATENATE(V264,"-",W264)))</f>
        <v/>
      </c>
      <c r="BR264" s="21" t="str">
        <f>IF(OR(AND(OR(AND(A264&gt;75,X264="Final Handicap"),AND(A264&gt;25,X264="1st half Handicap")),OR(AND(G264&gt;20,U264&lt;T264,E264&gt;45),AND(G264&lt;-20,U264&gt;T264,E264&lt;55))),AND(AND(A264-Y264&lt;200,A264-Y264&gt;9),OR(AND(A264&gt;75,X264="Final Handicap"),AND(A264&gt;25,X264="1st half Handicap")),OR(AND(AK264&gt;20,U264&lt;T264,E264&gt;45),AND(AK264&lt;-20,U264&gt;T264,E264&lt;55))),AND(AND(A264-AL264&lt;200,A264-AL264&gt;9),OR(AND(A264&gt;75,X264="Final Handicap"),AND(A264&gt;25,X264="1st half Handicap")),OR(AND(AX264&gt;20,U264&lt;T264,E264&gt;45),AND(AX264&lt;-20,U264&gt;T264,E264&lt;55))),AND(AND(A264-AY264&lt;200,A264-AY264&gt;9),OR(AND(A264&gt;75,X264="Final Handicap"),AND(A264&gt;25,X264="1st half Handicap")),OR(AND(BK264&gt;20,U264&lt;T264,E264&gt;45),AND(BK264&lt;-20,U264&gt;T264,E264&lt;55)))),"GOOD","")</f>
        <v/>
      </c>
      <c r="BS264" s="21"/>
    </row>
    <row r="265" spans="1:71" ht="17.25" x14ac:dyDescent="0.3">
      <c r="A265" s="3"/>
      <c r="D265" s="8" t="str">
        <f>IF(ISBLANK(T265),"",CONCATENATE(T265,"-",U265))</f>
        <v/>
      </c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>
        <f>IF(NOT(ISBLANK(G265)),ABS(G265),0)</f>
        <v>0</v>
      </c>
      <c r="BM265">
        <f>IF(NOT(ISBLANK(AK265)),ABS(AK265),0)</f>
        <v>0</v>
      </c>
      <c r="BN265">
        <f>IF(NOT(ISBLANK(AX265)),ABS(AX265),0)</f>
        <v>0</v>
      </c>
      <c r="BO265">
        <f>IF(NOT(ISBLANK(BK265)),ABS(BK265),0)</f>
        <v>0</v>
      </c>
      <c r="BP265">
        <f>IF(ISBLANK(E265),0,ABS(E265-50))</f>
        <v>0</v>
      </c>
      <c r="BQ265" s="21" t="str">
        <f>IF(OR(ISBLANK(V265),ISBLANK(W265)),"",IF(SUM(V265,W265)=0,"",CONCATENATE(V265,"-",W265)))</f>
        <v/>
      </c>
      <c r="BR265" s="21" t="str">
        <f>IF(OR(AND(OR(AND(A265&gt;75,X265="Final Handicap"),AND(A265&gt;25,X265="1st half Handicap")),OR(AND(G265&gt;20,U265&lt;T265,E265&gt;45),AND(G265&lt;-20,U265&gt;T265,E265&lt;55))),AND(AND(A265-Y265&lt;200,A265-Y265&gt;9),OR(AND(A265&gt;75,X265="Final Handicap"),AND(A265&gt;25,X265="1st half Handicap")),OR(AND(AK265&gt;20,U265&lt;T265,E265&gt;45),AND(AK265&lt;-20,U265&gt;T265,E265&lt;55))),AND(AND(A265-AL265&lt;200,A265-AL265&gt;9),OR(AND(A265&gt;75,X265="Final Handicap"),AND(A265&gt;25,X265="1st half Handicap")),OR(AND(AX265&gt;20,U265&lt;T265,E265&gt;45),AND(AX265&lt;-20,U265&gt;T265,E265&lt;55))),AND(AND(A265-AY265&lt;200,A265-AY265&gt;9),OR(AND(A265&gt;75,X265="Final Handicap"),AND(A265&gt;25,X265="1st half Handicap")),OR(AND(BK265&gt;20,U265&lt;T265,E265&gt;45),AND(BK265&lt;-20,U265&gt;T265,E265&lt;55)))),"GOOD","")</f>
        <v/>
      </c>
      <c r="BS265" s="21"/>
    </row>
    <row r="266" spans="1:71" ht="17.25" x14ac:dyDescent="0.3">
      <c r="A266" s="3"/>
      <c r="D266" s="8" t="str">
        <f>IF(ISBLANK(T266),"",CONCATENATE(T266,"-",U266))</f>
        <v/>
      </c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>
        <f>IF(NOT(ISBLANK(G266)),ABS(G266),0)</f>
        <v>0</v>
      </c>
      <c r="BM266">
        <f>IF(NOT(ISBLANK(AK266)),ABS(AK266),0)</f>
        <v>0</v>
      </c>
      <c r="BN266">
        <f>IF(NOT(ISBLANK(AX266)),ABS(AX266),0)</f>
        <v>0</v>
      </c>
      <c r="BO266">
        <f>IF(NOT(ISBLANK(BK266)),ABS(BK266),0)</f>
        <v>0</v>
      </c>
      <c r="BP266">
        <f>IF(ISBLANK(E266),0,ABS(E266-50))</f>
        <v>0</v>
      </c>
      <c r="BQ266" s="21" t="str">
        <f>IF(OR(ISBLANK(V266),ISBLANK(W266)),"",IF(SUM(V266,W266)=0,"",CONCATENATE(V266,"-",W266)))</f>
        <v/>
      </c>
      <c r="BR266" s="21" t="str">
        <f>IF(OR(AND(OR(AND(A266&gt;75,X266="Final Handicap"),AND(A266&gt;25,X266="1st half Handicap")),OR(AND(G266&gt;20,U266&lt;T266,E266&gt;45),AND(G266&lt;-20,U266&gt;T266,E266&lt;55))),AND(AND(A266-Y266&lt;200,A266-Y266&gt;9),OR(AND(A266&gt;75,X266="Final Handicap"),AND(A266&gt;25,X266="1st half Handicap")),OR(AND(AK266&gt;20,U266&lt;T266,E266&gt;45),AND(AK266&lt;-20,U266&gt;T266,E266&lt;55))),AND(AND(A266-AL266&lt;200,A266-AL266&gt;9),OR(AND(A266&gt;75,X266="Final Handicap"),AND(A266&gt;25,X266="1st half Handicap")),OR(AND(AX266&gt;20,U266&lt;T266,E266&gt;45),AND(AX266&lt;-20,U266&gt;T266,E266&lt;55))),AND(AND(A266-AY266&lt;200,A266-AY266&gt;9),OR(AND(A266&gt;75,X266="Final Handicap"),AND(A266&gt;25,X266="1st half Handicap")),OR(AND(BK266&gt;20,U266&lt;T266,E266&gt;45),AND(BK266&lt;-20,U266&gt;T266,E266&lt;55)))),"GOOD","")</f>
        <v/>
      </c>
      <c r="BS266" s="21"/>
    </row>
    <row r="267" spans="1:71" ht="17.25" x14ac:dyDescent="0.3">
      <c r="A267" s="3"/>
      <c r="D267" s="8" t="str">
        <f>IF(ISBLANK(T267),"",CONCATENATE(T267,"-",U267))</f>
        <v/>
      </c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>
        <f>IF(NOT(ISBLANK(G267)),ABS(G267),0)</f>
        <v>0</v>
      </c>
      <c r="BM267">
        <f>IF(NOT(ISBLANK(AK267)),ABS(AK267),0)</f>
        <v>0</v>
      </c>
      <c r="BN267">
        <f>IF(NOT(ISBLANK(AX267)),ABS(AX267),0)</f>
        <v>0</v>
      </c>
      <c r="BO267">
        <f>IF(NOT(ISBLANK(BK267)),ABS(BK267),0)</f>
        <v>0</v>
      </c>
      <c r="BP267">
        <f>IF(ISBLANK(E267),0,ABS(E267-50))</f>
        <v>0</v>
      </c>
      <c r="BQ267" s="21" t="str">
        <f>IF(OR(ISBLANK(V267),ISBLANK(W267)),"",IF(SUM(V267,W267)=0,"",CONCATENATE(V267,"-",W267)))</f>
        <v/>
      </c>
      <c r="BR267" s="21" t="str">
        <f>IF(OR(AND(OR(AND(A267&gt;75,X267="Final Handicap"),AND(A267&gt;25,X267="1st half Handicap")),OR(AND(G267&gt;20,U267&lt;T267,E267&gt;45),AND(G267&lt;-20,U267&gt;T267,E267&lt;55))),AND(AND(A267-Y267&lt;200,A267-Y267&gt;9),OR(AND(A267&gt;75,X267="Final Handicap"),AND(A267&gt;25,X267="1st half Handicap")),OR(AND(AK267&gt;20,U267&lt;T267,E267&gt;45),AND(AK267&lt;-20,U267&gt;T267,E267&lt;55))),AND(AND(A267-AL267&lt;200,A267-AL267&gt;9),OR(AND(A267&gt;75,X267="Final Handicap"),AND(A267&gt;25,X267="1st half Handicap")),OR(AND(AX267&gt;20,U267&lt;T267,E267&gt;45),AND(AX267&lt;-20,U267&gt;T267,E267&lt;55))),AND(AND(A267-AY267&lt;200,A267-AY267&gt;9),OR(AND(A267&gt;75,X267="Final Handicap"),AND(A267&gt;25,X267="1st half Handicap")),OR(AND(BK267&gt;20,U267&lt;T267,E267&gt;45),AND(BK267&lt;-20,U267&gt;T267,E267&lt;55)))),"GOOD","")</f>
        <v/>
      </c>
      <c r="BS267" s="21"/>
    </row>
    <row r="268" spans="1:71" ht="17.25" x14ac:dyDescent="0.3">
      <c r="A268" s="3"/>
      <c r="D268" s="8" t="str">
        <f>IF(ISBLANK(T268),"",CONCATENATE(T268,"-",U268))</f>
        <v/>
      </c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>
        <f>IF(NOT(ISBLANK(G268)),ABS(G268),0)</f>
        <v>0</v>
      </c>
      <c r="BM268">
        <f>IF(NOT(ISBLANK(AK268)),ABS(AK268),0)</f>
        <v>0</v>
      </c>
      <c r="BN268">
        <f>IF(NOT(ISBLANK(AX268)),ABS(AX268),0)</f>
        <v>0</v>
      </c>
      <c r="BO268">
        <f>IF(NOT(ISBLANK(BK268)),ABS(BK268),0)</f>
        <v>0</v>
      </c>
      <c r="BP268">
        <f>IF(ISBLANK(E268),0,ABS(E268-50))</f>
        <v>0</v>
      </c>
      <c r="BQ268" s="21" t="str">
        <f>IF(OR(ISBLANK(V268),ISBLANK(W268)),"",IF(SUM(V268,W268)=0,"",CONCATENATE(V268,"-",W268)))</f>
        <v/>
      </c>
      <c r="BR268" s="21" t="str">
        <f>IF(OR(AND(OR(AND(A268&gt;75,X268="Final Handicap"),AND(A268&gt;25,X268="1st half Handicap")),OR(AND(G268&gt;20,U268&lt;T268,E268&gt;45),AND(G268&lt;-20,U268&gt;T268,E268&lt;55))),AND(AND(A268-Y268&lt;200,A268-Y268&gt;9),OR(AND(A268&gt;75,X268="Final Handicap"),AND(A268&gt;25,X268="1st half Handicap")),OR(AND(AK268&gt;20,U268&lt;T268,E268&gt;45),AND(AK268&lt;-20,U268&gt;T268,E268&lt;55))),AND(AND(A268-AL268&lt;200,A268-AL268&gt;9),OR(AND(A268&gt;75,X268="Final Handicap"),AND(A268&gt;25,X268="1st half Handicap")),OR(AND(AX268&gt;20,U268&lt;T268,E268&gt;45),AND(AX268&lt;-20,U268&gt;T268,E268&lt;55))),AND(AND(A268-AY268&lt;200,A268-AY268&gt;9),OR(AND(A268&gt;75,X268="Final Handicap"),AND(A268&gt;25,X268="1st half Handicap")),OR(AND(BK268&gt;20,U268&lt;T268,E268&gt;45),AND(BK268&lt;-20,U268&gt;T268,E268&lt;55)))),"GOOD","")</f>
        <v/>
      </c>
      <c r="BS268" s="21"/>
    </row>
    <row r="269" spans="1:71" ht="17.25" x14ac:dyDescent="0.3">
      <c r="A269" s="3"/>
      <c r="D269" s="8" t="str">
        <f>IF(ISBLANK(T269),"",CONCATENATE(T269,"-",U269))</f>
        <v/>
      </c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>
        <f>IF(NOT(ISBLANK(G269)),ABS(G269),0)</f>
        <v>0</v>
      </c>
      <c r="BM269">
        <f>IF(NOT(ISBLANK(AK269)),ABS(AK269),0)</f>
        <v>0</v>
      </c>
      <c r="BN269">
        <f>IF(NOT(ISBLANK(AX269)),ABS(AX269),0)</f>
        <v>0</v>
      </c>
      <c r="BO269">
        <f>IF(NOT(ISBLANK(BK269)),ABS(BK269),0)</f>
        <v>0</v>
      </c>
      <c r="BP269">
        <f>IF(ISBLANK(E269),0,ABS(E269-50))</f>
        <v>0</v>
      </c>
      <c r="BQ269" s="21" t="str">
        <f>IF(OR(ISBLANK(V269),ISBLANK(W269)),"",IF(SUM(V269,W269)=0,"",CONCATENATE(V269,"-",W269)))</f>
        <v/>
      </c>
      <c r="BR269" s="21" t="str">
        <f>IF(OR(AND(OR(AND(A269&gt;75,X269="Final Handicap"),AND(A269&gt;25,X269="1st half Handicap")),OR(AND(G269&gt;20,U269&lt;T269,E269&gt;45),AND(G269&lt;-20,U269&gt;T269,E269&lt;55))),AND(AND(A269-Y269&lt;200,A269-Y269&gt;9),OR(AND(A269&gt;75,X269="Final Handicap"),AND(A269&gt;25,X269="1st half Handicap")),OR(AND(AK269&gt;20,U269&lt;T269,E269&gt;45),AND(AK269&lt;-20,U269&gt;T269,E269&lt;55))),AND(AND(A269-AL269&lt;200,A269-AL269&gt;9),OR(AND(A269&gt;75,X269="Final Handicap"),AND(A269&gt;25,X269="1st half Handicap")),OR(AND(AX269&gt;20,U269&lt;T269,E269&gt;45),AND(AX269&lt;-20,U269&gt;T269,E269&lt;55))),AND(AND(A269-AY269&lt;200,A269-AY269&gt;9),OR(AND(A269&gt;75,X269="Final Handicap"),AND(A269&gt;25,X269="1st half Handicap")),OR(AND(BK269&gt;20,U269&lt;T269,E269&gt;45),AND(BK269&lt;-20,U269&gt;T269,E269&lt;55)))),"GOOD","")</f>
        <v/>
      </c>
      <c r="BS269" s="21"/>
    </row>
    <row r="270" spans="1:71" ht="17.25" x14ac:dyDescent="0.3">
      <c r="A270" s="3"/>
      <c r="D270" s="8" t="str">
        <f>IF(ISBLANK(T270),"",CONCATENATE(T270,"-",U270))</f>
        <v/>
      </c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>
        <f>IF(NOT(ISBLANK(G270)),ABS(G270),0)</f>
        <v>0</v>
      </c>
      <c r="BM270">
        <f>IF(NOT(ISBLANK(AK270)),ABS(AK270),0)</f>
        <v>0</v>
      </c>
      <c r="BN270">
        <f>IF(NOT(ISBLANK(AX270)),ABS(AX270),0)</f>
        <v>0</v>
      </c>
      <c r="BO270">
        <f>IF(NOT(ISBLANK(BK270)),ABS(BK270),0)</f>
        <v>0</v>
      </c>
      <c r="BP270">
        <f>IF(ISBLANK(E270),0,ABS(E270-50))</f>
        <v>0</v>
      </c>
      <c r="BQ270" s="21" t="str">
        <f>IF(OR(ISBLANK(V270),ISBLANK(W270)),"",IF(SUM(V270,W270)=0,"",CONCATENATE(V270,"-",W270)))</f>
        <v/>
      </c>
      <c r="BR270" s="21" t="str">
        <f>IF(OR(AND(OR(AND(A270&gt;75,X270="Final Handicap"),AND(A270&gt;25,X270="1st half Handicap")),OR(AND(G270&gt;20,U270&lt;T270,E270&gt;45),AND(G270&lt;-20,U270&gt;T270,E270&lt;55))),AND(AND(A270-Y270&lt;200,A270-Y270&gt;9),OR(AND(A270&gt;75,X270="Final Handicap"),AND(A270&gt;25,X270="1st half Handicap")),OR(AND(AK270&gt;20,U270&lt;T270,E270&gt;45),AND(AK270&lt;-20,U270&gt;T270,E270&lt;55))),AND(AND(A270-AL270&lt;200,A270-AL270&gt;9),OR(AND(A270&gt;75,X270="Final Handicap"),AND(A270&gt;25,X270="1st half Handicap")),OR(AND(AX270&gt;20,U270&lt;T270,E270&gt;45),AND(AX270&lt;-20,U270&gt;T270,E270&lt;55))),AND(AND(A270-AY270&lt;200,A270-AY270&gt;9),OR(AND(A270&gt;75,X270="Final Handicap"),AND(A270&gt;25,X270="1st half Handicap")),OR(AND(BK270&gt;20,U270&lt;T270,E270&gt;45),AND(BK270&lt;-20,U270&gt;T270,E270&lt;55)))),"GOOD","")</f>
        <v/>
      </c>
      <c r="BS270" s="21"/>
    </row>
    <row r="271" spans="1:71" ht="17.25" x14ac:dyDescent="0.3">
      <c r="A271" s="3"/>
      <c r="D271" s="8" t="str">
        <f>IF(ISBLANK(T271),"",CONCATENATE(T271,"-",U271))</f>
        <v/>
      </c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>
        <f>IF(NOT(ISBLANK(G271)),ABS(G271),0)</f>
        <v>0</v>
      </c>
      <c r="BM271">
        <f>IF(NOT(ISBLANK(AK271)),ABS(AK271),0)</f>
        <v>0</v>
      </c>
      <c r="BN271">
        <f>IF(NOT(ISBLANK(AX271)),ABS(AX271),0)</f>
        <v>0</v>
      </c>
      <c r="BO271">
        <f>IF(NOT(ISBLANK(BK271)),ABS(BK271),0)</f>
        <v>0</v>
      </c>
      <c r="BP271">
        <f>IF(ISBLANK(E271),0,ABS(E271-50))</f>
        <v>0</v>
      </c>
      <c r="BQ271" s="21" t="str">
        <f>IF(OR(ISBLANK(V271),ISBLANK(W271)),"",IF(SUM(V271,W271)=0,"",CONCATENATE(V271,"-",W271)))</f>
        <v/>
      </c>
      <c r="BR271" s="21" t="str">
        <f>IF(OR(AND(OR(AND(A271&gt;75,X271="Final Handicap"),AND(A271&gt;25,X271="1st half Handicap")),OR(AND(G271&gt;20,U271&lt;T271,E271&gt;45),AND(G271&lt;-20,U271&gt;T271,E271&lt;55))),AND(AND(A271-Y271&lt;200,A271-Y271&gt;9),OR(AND(A271&gt;75,X271="Final Handicap"),AND(A271&gt;25,X271="1st half Handicap")),OR(AND(AK271&gt;20,U271&lt;T271,E271&gt;45),AND(AK271&lt;-20,U271&gt;T271,E271&lt;55))),AND(AND(A271-AL271&lt;200,A271-AL271&gt;9),OR(AND(A271&gt;75,X271="Final Handicap"),AND(A271&gt;25,X271="1st half Handicap")),OR(AND(AX271&gt;20,U271&lt;T271,E271&gt;45),AND(AX271&lt;-20,U271&gt;T271,E271&lt;55))),AND(AND(A271-AY271&lt;200,A271-AY271&gt;9),OR(AND(A271&gt;75,X271="Final Handicap"),AND(A271&gt;25,X271="1st half Handicap")),OR(AND(BK271&gt;20,U271&lt;T271,E271&gt;45),AND(BK271&lt;-20,U271&gt;T271,E271&lt;55)))),"GOOD","")</f>
        <v/>
      </c>
      <c r="BS271" s="21"/>
    </row>
    <row r="272" spans="1:71" ht="17.25" x14ac:dyDescent="0.3">
      <c r="A272" s="3"/>
      <c r="D272" s="8" t="str">
        <f>IF(ISBLANK(T272),"",CONCATENATE(T272,"-",U272))</f>
        <v/>
      </c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>
        <f>IF(NOT(ISBLANK(G272)),ABS(G272),0)</f>
        <v>0</v>
      </c>
      <c r="BM272">
        <f>IF(NOT(ISBLANK(AK272)),ABS(AK272),0)</f>
        <v>0</v>
      </c>
      <c r="BN272">
        <f>IF(NOT(ISBLANK(AX272)),ABS(AX272),0)</f>
        <v>0</v>
      </c>
      <c r="BO272">
        <f>IF(NOT(ISBLANK(BK272)),ABS(BK272),0)</f>
        <v>0</v>
      </c>
      <c r="BP272">
        <f>IF(ISBLANK(E272),0,ABS(E272-50))</f>
        <v>0</v>
      </c>
      <c r="BQ272" s="21" t="str">
        <f>IF(OR(ISBLANK(V272),ISBLANK(W272)),"",IF(SUM(V272,W272)=0,"",CONCATENATE(V272,"-",W272)))</f>
        <v/>
      </c>
      <c r="BR272" s="21" t="str">
        <f>IF(OR(AND(OR(AND(A272&gt;75,X272="Final Handicap"),AND(A272&gt;25,X272="1st half Handicap")),OR(AND(G272&gt;20,U272&lt;T272,E272&gt;45),AND(G272&lt;-20,U272&gt;T272,E272&lt;55))),AND(AND(A272-Y272&lt;200,A272-Y272&gt;9),OR(AND(A272&gt;75,X272="Final Handicap"),AND(A272&gt;25,X272="1st half Handicap")),OR(AND(AK272&gt;20,U272&lt;T272,E272&gt;45),AND(AK272&lt;-20,U272&gt;T272,E272&lt;55))),AND(AND(A272-AL272&lt;200,A272-AL272&gt;9),OR(AND(A272&gt;75,X272="Final Handicap"),AND(A272&gt;25,X272="1st half Handicap")),OR(AND(AX272&gt;20,U272&lt;T272,E272&gt;45),AND(AX272&lt;-20,U272&gt;T272,E272&lt;55))),AND(AND(A272-AY272&lt;200,A272-AY272&gt;9),OR(AND(A272&gt;75,X272="Final Handicap"),AND(A272&gt;25,X272="1st half Handicap")),OR(AND(BK272&gt;20,U272&lt;T272,E272&gt;45),AND(BK272&lt;-20,U272&gt;T272,E272&lt;55)))),"GOOD","")</f>
        <v/>
      </c>
      <c r="BS272" s="21"/>
    </row>
    <row r="273" spans="1:71" ht="17.25" x14ac:dyDescent="0.3">
      <c r="A273" s="3"/>
      <c r="D273" s="8" t="str">
        <f>IF(ISBLANK(T273),"",CONCATENATE(T273,"-",U273))</f>
        <v/>
      </c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>
        <f>IF(NOT(ISBLANK(G273)),ABS(G273),0)</f>
        <v>0</v>
      </c>
      <c r="BM273">
        <f>IF(NOT(ISBLANK(AK273)),ABS(AK273),0)</f>
        <v>0</v>
      </c>
      <c r="BN273">
        <f>IF(NOT(ISBLANK(AX273)),ABS(AX273),0)</f>
        <v>0</v>
      </c>
      <c r="BO273">
        <f>IF(NOT(ISBLANK(BK273)),ABS(BK273),0)</f>
        <v>0</v>
      </c>
      <c r="BP273">
        <f>IF(ISBLANK(E273),0,ABS(E273-50))</f>
        <v>0</v>
      </c>
      <c r="BQ273" s="21" t="str">
        <f>IF(OR(ISBLANK(V273),ISBLANK(W273)),"",IF(SUM(V273,W273)=0,"",CONCATENATE(V273,"-",W273)))</f>
        <v/>
      </c>
      <c r="BR273" s="21" t="str">
        <f>IF(OR(AND(OR(AND(A273&gt;75,X273="Final Handicap"),AND(A273&gt;25,X273="1st half Handicap")),OR(AND(G273&gt;20,U273&lt;T273,E273&gt;45),AND(G273&lt;-20,U273&gt;T273,E273&lt;55))),AND(AND(A273-Y273&lt;200,A273-Y273&gt;9),OR(AND(A273&gt;75,X273="Final Handicap"),AND(A273&gt;25,X273="1st half Handicap")),OR(AND(AK273&gt;20,U273&lt;T273,E273&gt;45),AND(AK273&lt;-20,U273&gt;T273,E273&lt;55))),AND(AND(A273-AL273&lt;200,A273-AL273&gt;9),OR(AND(A273&gt;75,X273="Final Handicap"),AND(A273&gt;25,X273="1st half Handicap")),OR(AND(AX273&gt;20,U273&lt;T273,E273&gt;45),AND(AX273&lt;-20,U273&gt;T273,E273&lt;55))),AND(AND(A273-AY273&lt;200,A273-AY273&gt;9),OR(AND(A273&gt;75,X273="Final Handicap"),AND(A273&gt;25,X273="1st half Handicap")),OR(AND(BK273&gt;20,U273&lt;T273,E273&gt;45),AND(BK273&lt;-20,U273&gt;T273,E273&lt;55)))),"GOOD","")</f>
        <v/>
      </c>
      <c r="BS273" s="21"/>
    </row>
    <row r="274" spans="1:71" ht="17.25" x14ac:dyDescent="0.3">
      <c r="A274" s="3"/>
      <c r="D274" s="8" t="str">
        <f>IF(ISBLANK(T274),"",CONCATENATE(T274,"-",U274))</f>
        <v/>
      </c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>
        <f>IF(NOT(ISBLANK(G274)),ABS(G274),0)</f>
        <v>0</v>
      </c>
      <c r="BM274">
        <f>IF(NOT(ISBLANK(AK274)),ABS(AK274),0)</f>
        <v>0</v>
      </c>
      <c r="BN274">
        <f>IF(NOT(ISBLANK(AX274)),ABS(AX274),0)</f>
        <v>0</v>
      </c>
      <c r="BO274">
        <f>IF(NOT(ISBLANK(BK274)),ABS(BK274),0)</f>
        <v>0</v>
      </c>
      <c r="BP274">
        <f>IF(ISBLANK(E274),0,ABS(E274-50))</f>
        <v>0</v>
      </c>
      <c r="BQ274" s="21" t="str">
        <f>IF(OR(ISBLANK(V274),ISBLANK(W274)),"",IF(SUM(V274,W274)=0,"",CONCATENATE(V274,"-",W274)))</f>
        <v/>
      </c>
      <c r="BR274" s="21" t="str">
        <f>IF(OR(AND(OR(AND(A274&gt;75,X274="Final Handicap"),AND(A274&gt;25,X274="1st half Handicap")),OR(AND(G274&gt;20,U274&lt;T274,E274&gt;45),AND(G274&lt;-20,U274&gt;T274,E274&lt;55))),AND(AND(A274-Y274&lt;200,A274-Y274&gt;9),OR(AND(A274&gt;75,X274="Final Handicap"),AND(A274&gt;25,X274="1st half Handicap")),OR(AND(AK274&gt;20,U274&lt;T274,E274&gt;45),AND(AK274&lt;-20,U274&gt;T274,E274&lt;55))),AND(AND(A274-AL274&lt;200,A274-AL274&gt;9),OR(AND(A274&gt;75,X274="Final Handicap"),AND(A274&gt;25,X274="1st half Handicap")),OR(AND(AX274&gt;20,U274&lt;T274,E274&gt;45),AND(AX274&lt;-20,U274&gt;T274,E274&lt;55))),AND(AND(A274-AY274&lt;200,A274-AY274&gt;9),OR(AND(A274&gt;75,X274="Final Handicap"),AND(A274&gt;25,X274="1st half Handicap")),OR(AND(BK274&gt;20,U274&lt;T274,E274&gt;45),AND(BK274&lt;-20,U274&gt;T274,E274&lt;55)))),"GOOD","")</f>
        <v/>
      </c>
      <c r="BS274" s="21"/>
    </row>
    <row r="275" spans="1:71" ht="17.25" x14ac:dyDescent="0.3">
      <c r="A275" s="3"/>
      <c r="D275" s="8" t="str">
        <f>IF(ISBLANK(T275),"",CONCATENATE(T275,"-",U275))</f>
        <v/>
      </c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>
        <f>IF(NOT(ISBLANK(G275)),ABS(G275),0)</f>
        <v>0</v>
      </c>
      <c r="BM275">
        <f>IF(NOT(ISBLANK(AK275)),ABS(AK275),0)</f>
        <v>0</v>
      </c>
      <c r="BN275">
        <f>IF(NOT(ISBLANK(AX275)),ABS(AX275),0)</f>
        <v>0</v>
      </c>
      <c r="BO275">
        <f>IF(NOT(ISBLANK(BK275)),ABS(BK275),0)</f>
        <v>0</v>
      </c>
      <c r="BP275">
        <f>IF(ISBLANK(E275),0,ABS(E275-50))</f>
        <v>0</v>
      </c>
      <c r="BQ275" s="21" t="str">
        <f>IF(OR(ISBLANK(V275),ISBLANK(W275)),"",IF(SUM(V275,W275)=0,"",CONCATENATE(V275,"-",W275)))</f>
        <v/>
      </c>
      <c r="BR275" s="21" t="str">
        <f>IF(OR(AND(OR(AND(A275&gt;75,X275="Final Handicap"),AND(A275&gt;25,X275="1st half Handicap")),OR(AND(G275&gt;20,U275&lt;T275,E275&gt;45),AND(G275&lt;-20,U275&gt;T275,E275&lt;55))),AND(AND(A275-Y275&lt;200,A275-Y275&gt;9),OR(AND(A275&gt;75,X275="Final Handicap"),AND(A275&gt;25,X275="1st half Handicap")),OR(AND(AK275&gt;20,U275&lt;T275,E275&gt;45),AND(AK275&lt;-20,U275&gt;T275,E275&lt;55))),AND(AND(A275-AL275&lt;200,A275-AL275&gt;9),OR(AND(A275&gt;75,X275="Final Handicap"),AND(A275&gt;25,X275="1st half Handicap")),OR(AND(AX275&gt;20,U275&lt;T275,E275&gt;45),AND(AX275&lt;-20,U275&gt;T275,E275&lt;55))),AND(AND(A275-AY275&lt;200,A275-AY275&gt;9),OR(AND(A275&gt;75,X275="Final Handicap"),AND(A275&gt;25,X275="1st half Handicap")),OR(AND(BK275&gt;20,U275&lt;T275,E275&gt;45),AND(BK275&lt;-20,U275&gt;T275,E275&lt;55)))),"GOOD","")</f>
        <v/>
      </c>
      <c r="BS275" s="21"/>
    </row>
    <row r="276" spans="1:71" ht="17.25" x14ac:dyDescent="0.3">
      <c r="A276" s="3"/>
      <c r="D276" s="8" t="str">
        <f>IF(ISBLANK(T276),"",CONCATENATE(T276,"-",U276))</f>
        <v/>
      </c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>
        <f>IF(NOT(ISBLANK(G276)),ABS(G276),0)</f>
        <v>0</v>
      </c>
      <c r="BM276">
        <f>IF(NOT(ISBLANK(AK276)),ABS(AK276),0)</f>
        <v>0</v>
      </c>
      <c r="BN276">
        <f>IF(NOT(ISBLANK(AX276)),ABS(AX276),0)</f>
        <v>0</v>
      </c>
      <c r="BO276">
        <f>IF(NOT(ISBLANK(BK276)),ABS(BK276),0)</f>
        <v>0</v>
      </c>
      <c r="BP276">
        <f>IF(ISBLANK(E276),0,ABS(E276-50))</f>
        <v>0</v>
      </c>
      <c r="BQ276" s="21" t="str">
        <f>IF(OR(ISBLANK(V276),ISBLANK(W276)),"",IF(SUM(V276,W276)=0,"",CONCATENATE(V276,"-",W276)))</f>
        <v/>
      </c>
      <c r="BR276" s="21" t="str">
        <f>IF(OR(AND(OR(AND(A276&gt;75,X276="Final Handicap"),AND(A276&gt;25,X276="1st half Handicap")),OR(AND(G276&gt;20,U276&lt;T276,E276&gt;45),AND(G276&lt;-20,U276&gt;T276,E276&lt;55))),AND(AND(A276-Y276&lt;200,A276-Y276&gt;9),OR(AND(A276&gt;75,X276="Final Handicap"),AND(A276&gt;25,X276="1st half Handicap")),OR(AND(AK276&gt;20,U276&lt;T276,E276&gt;45),AND(AK276&lt;-20,U276&gt;T276,E276&lt;55))),AND(AND(A276-AL276&lt;200,A276-AL276&gt;9),OR(AND(A276&gt;75,X276="Final Handicap"),AND(A276&gt;25,X276="1st half Handicap")),OR(AND(AX276&gt;20,U276&lt;T276,E276&gt;45),AND(AX276&lt;-20,U276&gt;T276,E276&lt;55))),AND(AND(A276-AY276&lt;200,A276-AY276&gt;9),OR(AND(A276&gt;75,X276="Final Handicap"),AND(A276&gt;25,X276="1st half Handicap")),OR(AND(BK276&gt;20,U276&lt;T276,E276&gt;45),AND(BK276&lt;-20,U276&gt;T276,E276&lt;55)))),"GOOD","")</f>
        <v/>
      </c>
      <c r="BS276" s="21"/>
    </row>
    <row r="277" spans="1:71" ht="17.25" x14ac:dyDescent="0.3">
      <c r="A277" s="3"/>
      <c r="D277" s="8" t="str">
        <f>IF(ISBLANK(T277),"",CONCATENATE(T277,"-",U277))</f>
        <v/>
      </c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>
        <f>IF(NOT(ISBLANK(G277)),ABS(G277),0)</f>
        <v>0</v>
      </c>
      <c r="BM277">
        <f>IF(NOT(ISBLANK(AK277)),ABS(AK277),0)</f>
        <v>0</v>
      </c>
      <c r="BN277">
        <f>IF(NOT(ISBLANK(AX277)),ABS(AX277),0)</f>
        <v>0</v>
      </c>
      <c r="BO277">
        <f>IF(NOT(ISBLANK(BK277)),ABS(BK277),0)</f>
        <v>0</v>
      </c>
      <c r="BP277">
        <f>IF(ISBLANK(E277),0,ABS(E277-50))</f>
        <v>0</v>
      </c>
      <c r="BQ277" s="21" t="str">
        <f>IF(OR(ISBLANK(V277),ISBLANK(W277)),"",IF(SUM(V277,W277)=0,"",CONCATENATE(V277,"-",W277)))</f>
        <v/>
      </c>
      <c r="BR277" s="21" t="str">
        <f>IF(OR(AND(OR(AND(A277&gt;75,X277="Final Handicap"),AND(A277&gt;25,X277="1st half Handicap")),OR(AND(G277&gt;20,U277&lt;T277,E277&gt;45),AND(G277&lt;-20,U277&gt;T277,E277&lt;55))),AND(AND(A277-Y277&lt;200,A277-Y277&gt;9),OR(AND(A277&gt;75,X277="Final Handicap"),AND(A277&gt;25,X277="1st half Handicap")),OR(AND(AK277&gt;20,U277&lt;T277,E277&gt;45),AND(AK277&lt;-20,U277&gt;T277,E277&lt;55))),AND(AND(A277-AL277&lt;200,A277-AL277&gt;9),OR(AND(A277&gt;75,X277="Final Handicap"),AND(A277&gt;25,X277="1st half Handicap")),OR(AND(AX277&gt;20,U277&lt;T277,E277&gt;45),AND(AX277&lt;-20,U277&gt;T277,E277&lt;55))),AND(AND(A277-AY277&lt;200,A277-AY277&gt;9),OR(AND(A277&gt;75,X277="Final Handicap"),AND(A277&gt;25,X277="1st half Handicap")),OR(AND(BK277&gt;20,U277&lt;T277,E277&gt;45),AND(BK277&lt;-20,U277&gt;T277,E277&lt;55)))),"GOOD","")</f>
        <v/>
      </c>
      <c r="BS277" s="21"/>
    </row>
    <row r="278" spans="1:71" ht="17.25" x14ac:dyDescent="0.3">
      <c r="A278" s="3"/>
      <c r="D278" s="8" t="str">
        <f>IF(ISBLANK(T278),"",CONCATENATE(T278,"-",U278))</f>
        <v/>
      </c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>
        <f>IF(NOT(ISBLANK(G278)),ABS(G278),0)</f>
        <v>0</v>
      </c>
      <c r="BM278">
        <f>IF(NOT(ISBLANK(AK278)),ABS(AK278),0)</f>
        <v>0</v>
      </c>
      <c r="BN278">
        <f>IF(NOT(ISBLANK(AX278)),ABS(AX278),0)</f>
        <v>0</v>
      </c>
      <c r="BO278">
        <f>IF(NOT(ISBLANK(BK278)),ABS(BK278),0)</f>
        <v>0</v>
      </c>
      <c r="BP278">
        <f>IF(ISBLANK(E278),0,ABS(E278-50))</f>
        <v>0</v>
      </c>
      <c r="BQ278" s="21" t="str">
        <f>IF(OR(ISBLANK(V278),ISBLANK(W278)),"",IF(SUM(V278,W278)=0,"",CONCATENATE(V278,"-",W278)))</f>
        <v/>
      </c>
      <c r="BR278" s="21" t="str">
        <f>IF(OR(AND(OR(AND(A278&gt;75,X278="Final Handicap"),AND(A278&gt;25,X278="1st half Handicap")),OR(AND(G278&gt;20,U278&lt;T278,E278&gt;45),AND(G278&lt;-20,U278&gt;T278,E278&lt;55))),AND(AND(A278-Y278&lt;200,A278-Y278&gt;9),OR(AND(A278&gt;75,X278="Final Handicap"),AND(A278&gt;25,X278="1st half Handicap")),OR(AND(AK278&gt;20,U278&lt;T278,E278&gt;45),AND(AK278&lt;-20,U278&gt;T278,E278&lt;55))),AND(AND(A278-AL278&lt;200,A278-AL278&gt;9),OR(AND(A278&gt;75,X278="Final Handicap"),AND(A278&gt;25,X278="1st half Handicap")),OR(AND(AX278&gt;20,U278&lt;T278,E278&gt;45),AND(AX278&lt;-20,U278&gt;T278,E278&lt;55))),AND(AND(A278-AY278&lt;200,A278-AY278&gt;9),OR(AND(A278&gt;75,X278="Final Handicap"),AND(A278&gt;25,X278="1st half Handicap")),OR(AND(BK278&gt;20,U278&lt;T278,E278&gt;45),AND(BK278&lt;-20,U278&gt;T278,E278&lt;55)))),"GOOD","")</f>
        <v/>
      </c>
      <c r="BS278" s="21"/>
    </row>
    <row r="279" spans="1:71" ht="17.25" x14ac:dyDescent="0.3">
      <c r="A279" s="3"/>
      <c r="D279" s="8" t="str">
        <f>IF(ISBLANK(T279),"",CONCATENATE(T279,"-",U279))</f>
        <v/>
      </c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>
        <f>IF(NOT(ISBLANK(G279)),ABS(G279),0)</f>
        <v>0</v>
      </c>
      <c r="BM279">
        <f>IF(NOT(ISBLANK(AK279)),ABS(AK279),0)</f>
        <v>0</v>
      </c>
      <c r="BN279">
        <f>IF(NOT(ISBLANK(AX279)),ABS(AX279),0)</f>
        <v>0</v>
      </c>
      <c r="BO279">
        <f>IF(NOT(ISBLANK(BK279)),ABS(BK279),0)</f>
        <v>0</v>
      </c>
      <c r="BP279">
        <f>IF(ISBLANK(E279),0,ABS(E279-50))</f>
        <v>0</v>
      </c>
      <c r="BQ279" s="21" t="str">
        <f>IF(OR(ISBLANK(V279),ISBLANK(W279)),"",IF(SUM(V279,W279)=0,"",CONCATENATE(V279,"-",W279)))</f>
        <v/>
      </c>
      <c r="BR279" s="21" t="str">
        <f>IF(OR(AND(OR(AND(A279&gt;75,X279="Final Handicap"),AND(A279&gt;25,X279="1st half Handicap")),OR(AND(G279&gt;20,U279&lt;T279,E279&gt;45),AND(G279&lt;-20,U279&gt;T279,E279&lt;55))),AND(AND(A279-Y279&lt;200,A279-Y279&gt;9),OR(AND(A279&gt;75,X279="Final Handicap"),AND(A279&gt;25,X279="1st half Handicap")),OR(AND(AK279&gt;20,U279&lt;T279,E279&gt;45),AND(AK279&lt;-20,U279&gt;T279,E279&lt;55))),AND(AND(A279-AL279&lt;200,A279-AL279&gt;9),OR(AND(A279&gt;75,X279="Final Handicap"),AND(A279&gt;25,X279="1st half Handicap")),OR(AND(AX279&gt;20,U279&lt;T279,E279&gt;45),AND(AX279&lt;-20,U279&gt;T279,E279&lt;55))),AND(AND(A279-AY279&lt;200,A279-AY279&gt;9),OR(AND(A279&gt;75,X279="Final Handicap"),AND(A279&gt;25,X279="1st half Handicap")),OR(AND(BK279&gt;20,U279&lt;T279,E279&gt;45),AND(BK279&lt;-20,U279&gt;T279,E279&lt;55)))),"GOOD","")</f>
        <v/>
      </c>
      <c r="BS279" s="21"/>
    </row>
    <row r="280" spans="1:71" ht="17.25" x14ac:dyDescent="0.3">
      <c r="A280" s="3"/>
      <c r="D280" s="8" t="str">
        <f>IF(ISBLANK(T280),"",CONCATENATE(T280,"-",U280))</f>
        <v/>
      </c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>
        <f>IF(NOT(ISBLANK(G280)),ABS(G280),0)</f>
        <v>0</v>
      </c>
      <c r="BM280">
        <f>IF(NOT(ISBLANK(AK280)),ABS(AK280),0)</f>
        <v>0</v>
      </c>
      <c r="BN280">
        <f>IF(NOT(ISBLANK(AX280)),ABS(AX280),0)</f>
        <v>0</v>
      </c>
      <c r="BO280">
        <f>IF(NOT(ISBLANK(BK280)),ABS(BK280),0)</f>
        <v>0</v>
      </c>
      <c r="BP280">
        <f>IF(ISBLANK(E280),0,ABS(E280-50))</f>
        <v>0</v>
      </c>
      <c r="BQ280" s="21" t="str">
        <f>IF(OR(ISBLANK(V280),ISBLANK(W280)),"",IF(SUM(V280,W280)=0,"",CONCATENATE(V280,"-",W280)))</f>
        <v/>
      </c>
      <c r="BR280" s="21" t="str">
        <f>IF(OR(AND(OR(AND(A280&gt;75,X280="Final Handicap"),AND(A280&gt;25,X280="1st half Handicap")),OR(AND(G280&gt;20,U280&lt;T280,E280&gt;45),AND(G280&lt;-20,U280&gt;T280,E280&lt;55))),AND(AND(A280-Y280&lt;200,A280-Y280&gt;9),OR(AND(A280&gt;75,X280="Final Handicap"),AND(A280&gt;25,X280="1st half Handicap")),OR(AND(AK280&gt;20,U280&lt;T280,E280&gt;45),AND(AK280&lt;-20,U280&gt;T280,E280&lt;55))),AND(AND(A280-AL280&lt;200,A280-AL280&gt;9),OR(AND(A280&gt;75,X280="Final Handicap"),AND(A280&gt;25,X280="1st half Handicap")),OR(AND(AX280&gt;20,U280&lt;T280,E280&gt;45),AND(AX280&lt;-20,U280&gt;T280,E280&lt;55))),AND(AND(A280-AY280&lt;200,A280-AY280&gt;9),OR(AND(A280&gt;75,X280="Final Handicap"),AND(A280&gt;25,X280="1st half Handicap")),OR(AND(BK280&gt;20,U280&lt;T280,E280&gt;45),AND(BK280&lt;-20,U280&gt;T280,E280&lt;55)))),"GOOD","")</f>
        <v/>
      </c>
      <c r="BS280" s="21"/>
    </row>
    <row r="281" spans="1:71" ht="17.25" x14ac:dyDescent="0.3">
      <c r="A281" s="3"/>
      <c r="D281" s="8" t="str">
        <f>IF(ISBLANK(T281),"",CONCATENATE(T281,"-",U281))</f>
        <v/>
      </c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>
        <f>IF(NOT(ISBLANK(G281)),ABS(G281),0)</f>
        <v>0</v>
      </c>
      <c r="BM281">
        <f>IF(NOT(ISBLANK(AK281)),ABS(AK281),0)</f>
        <v>0</v>
      </c>
      <c r="BN281">
        <f>IF(NOT(ISBLANK(AX281)),ABS(AX281),0)</f>
        <v>0</v>
      </c>
      <c r="BO281">
        <f>IF(NOT(ISBLANK(BK281)),ABS(BK281),0)</f>
        <v>0</v>
      </c>
      <c r="BP281">
        <f>IF(ISBLANK(E281),0,ABS(E281-50))</f>
        <v>0</v>
      </c>
      <c r="BQ281" s="21" t="str">
        <f>IF(OR(ISBLANK(V281),ISBLANK(W281)),"",IF(SUM(V281,W281)=0,"",CONCATENATE(V281,"-",W281)))</f>
        <v/>
      </c>
      <c r="BR281" s="21" t="str">
        <f>IF(OR(AND(OR(AND(A281&gt;75,X281="Final Handicap"),AND(A281&gt;25,X281="1st half Handicap")),OR(AND(G281&gt;20,U281&lt;T281,E281&gt;45),AND(G281&lt;-20,U281&gt;T281,E281&lt;55))),AND(AND(A281-Y281&lt;200,A281-Y281&gt;9),OR(AND(A281&gt;75,X281="Final Handicap"),AND(A281&gt;25,X281="1st half Handicap")),OR(AND(AK281&gt;20,U281&lt;T281,E281&gt;45),AND(AK281&lt;-20,U281&gt;T281,E281&lt;55))),AND(AND(A281-AL281&lt;200,A281-AL281&gt;9),OR(AND(A281&gt;75,X281="Final Handicap"),AND(A281&gt;25,X281="1st half Handicap")),OR(AND(AX281&gt;20,U281&lt;T281,E281&gt;45),AND(AX281&lt;-20,U281&gt;T281,E281&lt;55))),AND(AND(A281-AY281&lt;200,A281-AY281&gt;9),OR(AND(A281&gt;75,X281="Final Handicap"),AND(A281&gt;25,X281="1st half Handicap")),OR(AND(BK281&gt;20,U281&lt;T281,E281&gt;45),AND(BK281&lt;-20,U281&gt;T281,E281&lt;55)))),"GOOD","")</f>
        <v/>
      </c>
      <c r="BS281" s="21"/>
    </row>
    <row r="282" spans="1:71" ht="17.25" x14ac:dyDescent="0.3">
      <c r="A282" s="3"/>
      <c r="D282" s="8" t="str">
        <f>IF(ISBLANK(T282),"",CONCATENATE(T282,"-",U282))</f>
        <v/>
      </c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>
        <f>IF(NOT(ISBLANK(G282)),ABS(G282),0)</f>
        <v>0</v>
      </c>
      <c r="BM282">
        <f>IF(NOT(ISBLANK(AK282)),ABS(AK282),0)</f>
        <v>0</v>
      </c>
      <c r="BN282">
        <f>IF(NOT(ISBLANK(AX282)),ABS(AX282),0)</f>
        <v>0</v>
      </c>
      <c r="BO282">
        <f>IF(NOT(ISBLANK(BK282)),ABS(BK282),0)</f>
        <v>0</v>
      </c>
      <c r="BP282">
        <f>IF(ISBLANK(E282),0,ABS(E282-50))</f>
        <v>0</v>
      </c>
      <c r="BQ282" s="21" t="str">
        <f>IF(OR(ISBLANK(V282),ISBLANK(W282)),"",IF(SUM(V282,W282)=0,"",CONCATENATE(V282,"-",W282)))</f>
        <v/>
      </c>
      <c r="BR282" s="21" t="str">
        <f>IF(OR(AND(OR(AND(A282&gt;75,X282="Final Handicap"),AND(A282&gt;25,X282="1st half Handicap")),OR(AND(G282&gt;20,U282&lt;T282,E282&gt;45),AND(G282&lt;-20,U282&gt;T282,E282&lt;55))),AND(AND(A282-Y282&lt;200,A282-Y282&gt;9),OR(AND(A282&gt;75,X282="Final Handicap"),AND(A282&gt;25,X282="1st half Handicap")),OR(AND(AK282&gt;20,U282&lt;T282,E282&gt;45),AND(AK282&lt;-20,U282&gt;T282,E282&lt;55))),AND(AND(A282-AL282&lt;200,A282-AL282&gt;9),OR(AND(A282&gt;75,X282="Final Handicap"),AND(A282&gt;25,X282="1st half Handicap")),OR(AND(AX282&gt;20,U282&lt;T282,E282&gt;45),AND(AX282&lt;-20,U282&gt;T282,E282&lt;55))),AND(AND(A282-AY282&lt;200,A282-AY282&gt;9),OR(AND(A282&gt;75,X282="Final Handicap"),AND(A282&gt;25,X282="1st half Handicap")),OR(AND(BK282&gt;20,U282&lt;T282,E282&gt;45),AND(BK282&lt;-20,U282&gt;T282,E282&lt;55)))),"GOOD","")</f>
        <v/>
      </c>
      <c r="BS282" s="21"/>
    </row>
    <row r="283" spans="1:71" ht="17.25" x14ac:dyDescent="0.3">
      <c r="A283" s="3"/>
      <c r="D283" s="8" t="str">
        <f>IF(ISBLANK(T283),"",CONCATENATE(T283,"-",U283))</f>
        <v/>
      </c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>
        <f>IF(NOT(ISBLANK(G283)),ABS(G283),0)</f>
        <v>0</v>
      </c>
      <c r="BM283">
        <f>IF(NOT(ISBLANK(AK283)),ABS(AK283),0)</f>
        <v>0</v>
      </c>
      <c r="BN283">
        <f>IF(NOT(ISBLANK(AX283)),ABS(AX283),0)</f>
        <v>0</v>
      </c>
      <c r="BO283">
        <f>IF(NOT(ISBLANK(BK283)),ABS(BK283),0)</f>
        <v>0</v>
      </c>
      <c r="BP283">
        <f>IF(ISBLANK(E283),0,ABS(E283-50))</f>
        <v>0</v>
      </c>
      <c r="BQ283" s="21" t="str">
        <f>IF(OR(ISBLANK(V283),ISBLANK(W283)),"",IF(SUM(V283,W283)=0,"",CONCATENATE(V283,"-",W283)))</f>
        <v/>
      </c>
      <c r="BR283" s="21" t="str">
        <f>IF(OR(AND(OR(AND(A283&gt;75,X283="Final Handicap"),AND(A283&gt;25,X283="1st half Handicap")),OR(AND(G283&gt;20,U283&lt;T283,E283&gt;45),AND(G283&lt;-20,U283&gt;T283,E283&lt;55))),AND(AND(A283-Y283&lt;200,A283-Y283&gt;9),OR(AND(A283&gt;75,X283="Final Handicap"),AND(A283&gt;25,X283="1st half Handicap")),OR(AND(AK283&gt;20,U283&lt;T283,E283&gt;45),AND(AK283&lt;-20,U283&gt;T283,E283&lt;55))),AND(AND(A283-AL283&lt;200,A283-AL283&gt;9),OR(AND(A283&gt;75,X283="Final Handicap"),AND(A283&gt;25,X283="1st half Handicap")),OR(AND(AX283&gt;20,U283&lt;T283,E283&gt;45),AND(AX283&lt;-20,U283&gt;T283,E283&lt;55))),AND(AND(A283-AY283&lt;200,A283-AY283&gt;9),OR(AND(A283&gt;75,X283="Final Handicap"),AND(A283&gt;25,X283="1st half Handicap")),OR(AND(BK283&gt;20,U283&lt;T283,E283&gt;45),AND(BK283&lt;-20,U283&gt;T283,E283&lt;55)))),"GOOD","")</f>
        <v/>
      </c>
      <c r="BS283" s="21"/>
    </row>
    <row r="284" spans="1:71" ht="17.25" x14ac:dyDescent="0.3">
      <c r="A284" s="3"/>
      <c r="D284" s="8" t="str">
        <f>IF(ISBLANK(T284),"",CONCATENATE(T284,"-",U284))</f>
        <v/>
      </c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>
        <f>IF(NOT(ISBLANK(G284)),ABS(G284),0)</f>
        <v>0</v>
      </c>
      <c r="BM284">
        <f>IF(NOT(ISBLANK(AK284)),ABS(AK284),0)</f>
        <v>0</v>
      </c>
      <c r="BN284">
        <f>IF(NOT(ISBLANK(AX284)),ABS(AX284),0)</f>
        <v>0</v>
      </c>
      <c r="BO284">
        <f>IF(NOT(ISBLANK(BK284)),ABS(BK284),0)</f>
        <v>0</v>
      </c>
      <c r="BP284">
        <f>IF(ISBLANK(E284),0,ABS(E284-50))</f>
        <v>0</v>
      </c>
      <c r="BQ284" s="21" t="str">
        <f>IF(OR(ISBLANK(V284),ISBLANK(W284)),"",IF(SUM(V284,W284)=0,"",CONCATENATE(V284,"-",W284)))</f>
        <v/>
      </c>
      <c r="BR284" s="21" t="str">
        <f>IF(OR(AND(OR(AND(A284&gt;75,X284="Final Handicap"),AND(A284&gt;25,X284="1st half Handicap")),OR(AND(G284&gt;20,U284&lt;T284,E284&gt;45),AND(G284&lt;-20,U284&gt;T284,E284&lt;55))),AND(AND(A284-Y284&lt;200,A284-Y284&gt;9),OR(AND(A284&gt;75,X284="Final Handicap"),AND(A284&gt;25,X284="1st half Handicap")),OR(AND(AK284&gt;20,U284&lt;T284,E284&gt;45),AND(AK284&lt;-20,U284&gt;T284,E284&lt;55))),AND(AND(A284-AL284&lt;200,A284-AL284&gt;9),OR(AND(A284&gt;75,X284="Final Handicap"),AND(A284&gt;25,X284="1st half Handicap")),OR(AND(AX284&gt;20,U284&lt;T284,E284&gt;45),AND(AX284&lt;-20,U284&gt;T284,E284&lt;55))),AND(AND(A284-AY284&lt;200,A284-AY284&gt;9),OR(AND(A284&gt;75,X284="Final Handicap"),AND(A284&gt;25,X284="1st half Handicap")),OR(AND(BK284&gt;20,U284&lt;T284,E284&gt;45),AND(BK284&lt;-20,U284&gt;T284,E284&lt;55)))),"GOOD","")</f>
        <v/>
      </c>
      <c r="BS284" s="21"/>
    </row>
    <row r="285" spans="1:71" ht="17.25" x14ac:dyDescent="0.3">
      <c r="A285" s="3"/>
      <c r="D285" s="8" t="str">
        <f>IF(ISBLANK(T285),"",CONCATENATE(T285,"-",U285))</f>
        <v/>
      </c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>
        <f>IF(NOT(ISBLANK(G285)),ABS(G285),0)</f>
        <v>0</v>
      </c>
      <c r="BM285">
        <f>IF(NOT(ISBLANK(AK285)),ABS(AK285),0)</f>
        <v>0</v>
      </c>
      <c r="BN285">
        <f>IF(NOT(ISBLANK(AX285)),ABS(AX285),0)</f>
        <v>0</v>
      </c>
      <c r="BO285">
        <f>IF(NOT(ISBLANK(BK285)),ABS(BK285),0)</f>
        <v>0</v>
      </c>
      <c r="BP285">
        <f>IF(ISBLANK(E285),0,ABS(E285-50))</f>
        <v>0</v>
      </c>
      <c r="BQ285" s="21" t="str">
        <f>IF(OR(ISBLANK(V285),ISBLANK(W285)),"",IF(SUM(V285,W285)=0,"",CONCATENATE(V285,"-",W285)))</f>
        <v/>
      </c>
      <c r="BR285" s="21" t="str">
        <f>IF(OR(AND(OR(AND(A285&gt;75,X285="Final Handicap"),AND(A285&gt;25,X285="1st half Handicap")),OR(AND(G285&gt;20,U285&lt;T285,E285&gt;45),AND(G285&lt;-20,U285&gt;T285,E285&lt;55))),AND(AND(A285-Y285&lt;200,A285-Y285&gt;9),OR(AND(A285&gt;75,X285="Final Handicap"),AND(A285&gt;25,X285="1st half Handicap")),OR(AND(AK285&gt;20,U285&lt;T285,E285&gt;45),AND(AK285&lt;-20,U285&gt;T285,E285&lt;55))),AND(AND(A285-AL285&lt;200,A285-AL285&gt;9),OR(AND(A285&gt;75,X285="Final Handicap"),AND(A285&gt;25,X285="1st half Handicap")),OR(AND(AX285&gt;20,U285&lt;T285,E285&gt;45),AND(AX285&lt;-20,U285&gt;T285,E285&lt;55))),AND(AND(A285-AY285&lt;200,A285-AY285&gt;9),OR(AND(A285&gt;75,X285="Final Handicap"),AND(A285&gt;25,X285="1st half Handicap")),OR(AND(BK285&gt;20,U285&lt;T285,E285&gt;45),AND(BK285&lt;-20,U285&gt;T285,E285&lt;55)))),"GOOD","")</f>
        <v/>
      </c>
      <c r="BS285" s="21"/>
    </row>
    <row r="286" spans="1:71" ht="17.25" x14ac:dyDescent="0.3">
      <c r="A286" s="3"/>
      <c r="D286" s="8" t="str">
        <f>IF(ISBLANK(T286),"",CONCATENATE(T286,"-",U286))</f>
        <v/>
      </c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>
        <f>IF(NOT(ISBLANK(G286)),ABS(G286),0)</f>
        <v>0</v>
      </c>
      <c r="BM286">
        <f>IF(NOT(ISBLANK(AK286)),ABS(AK286),0)</f>
        <v>0</v>
      </c>
      <c r="BN286">
        <f>IF(NOT(ISBLANK(AX286)),ABS(AX286),0)</f>
        <v>0</v>
      </c>
      <c r="BO286">
        <f>IF(NOT(ISBLANK(BK286)),ABS(BK286),0)</f>
        <v>0</v>
      </c>
      <c r="BP286">
        <f>IF(ISBLANK(E286),0,ABS(E286-50))</f>
        <v>0</v>
      </c>
      <c r="BQ286" s="21" t="str">
        <f>IF(OR(ISBLANK(V286),ISBLANK(W286)),"",IF(SUM(V286,W286)=0,"",CONCATENATE(V286,"-",W286)))</f>
        <v/>
      </c>
      <c r="BR286" s="21" t="str">
        <f>IF(OR(AND(OR(AND(A286&gt;75,X286="Final Handicap"),AND(A286&gt;25,X286="1st half Handicap")),OR(AND(G286&gt;20,U286&lt;T286,E286&gt;45),AND(G286&lt;-20,U286&gt;T286,E286&lt;55))),AND(AND(A286-Y286&lt;200,A286-Y286&gt;9),OR(AND(A286&gt;75,X286="Final Handicap"),AND(A286&gt;25,X286="1st half Handicap")),OR(AND(AK286&gt;20,U286&lt;T286,E286&gt;45),AND(AK286&lt;-20,U286&gt;T286,E286&lt;55))),AND(AND(A286-AL286&lt;200,A286-AL286&gt;9),OR(AND(A286&gt;75,X286="Final Handicap"),AND(A286&gt;25,X286="1st half Handicap")),OR(AND(AX286&gt;20,U286&lt;T286,E286&gt;45),AND(AX286&lt;-20,U286&gt;T286,E286&lt;55))),AND(AND(A286-AY286&lt;200,A286-AY286&gt;9),OR(AND(A286&gt;75,X286="Final Handicap"),AND(A286&gt;25,X286="1st half Handicap")),OR(AND(BK286&gt;20,U286&lt;T286,E286&gt;45),AND(BK286&lt;-20,U286&gt;T286,E286&lt;55)))),"GOOD","")</f>
        <v/>
      </c>
      <c r="BS286" s="21"/>
    </row>
    <row r="287" spans="1:71" ht="17.25" x14ac:dyDescent="0.3">
      <c r="A287" s="3"/>
      <c r="D287" s="8" t="str">
        <f>IF(ISBLANK(T287),"",CONCATENATE(T287,"-",U287))</f>
        <v/>
      </c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>
        <f>IF(NOT(ISBLANK(G287)),ABS(G287),0)</f>
        <v>0</v>
      </c>
      <c r="BM287">
        <f>IF(NOT(ISBLANK(AK287)),ABS(AK287),0)</f>
        <v>0</v>
      </c>
      <c r="BN287">
        <f>IF(NOT(ISBLANK(AX287)),ABS(AX287),0)</f>
        <v>0</v>
      </c>
      <c r="BO287">
        <f>IF(NOT(ISBLANK(BK287)),ABS(BK287),0)</f>
        <v>0</v>
      </c>
      <c r="BP287">
        <f>IF(ISBLANK(E287),0,ABS(E287-50))</f>
        <v>0</v>
      </c>
      <c r="BQ287" s="21" t="str">
        <f>IF(OR(ISBLANK(V287),ISBLANK(W287)),"",IF(SUM(V287,W287)=0,"",CONCATENATE(V287,"-",W287)))</f>
        <v/>
      </c>
      <c r="BR287" s="21" t="str">
        <f>IF(OR(AND(OR(AND(A287&gt;75,X287="Final Handicap"),AND(A287&gt;25,X287="1st half Handicap")),OR(AND(G287&gt;20,U287&lt;T287,E287&gt;45),AND(G287&lt;-20,U287&gt;T287,E287&lt;55))),AND(AND(A287-Y287&lt;200,A287-Y287&gt;9),OR(AND(A287&gt;75,X287="Final Handicap"),AND(A287&gt;25,X287="1st half Handicap")),OR(AND(AK287&gt;20,U287&lt;T287,E287&gt;45),AND(AK287&lt;-20,U287&gt;T287,E287&lt;55))),AND(AND(A287-AL287&lt;200,A287-AL287&gt;9),OR(AND(A287&gt;75,X287="Final Handicap"),AND(A287&gt;25,X287="1st half Handicap")),OR(AND(AX287&gt;20,U287&lt;T287,E287&gt;45),AND(AX287&lt;-20,U287&gt;T287,E287&lt;55))),AND(AND(A287-AY287&lt;200,A287-AY287&gt;9),OR(AND(A287&gt;75,X287="Final Handicap"),AND(A287&gt;25,X287="1st half Handicap")),OR(AND(BK287&gt;20,U287&lt;T287,E287&gt;45),AND(BK287&lt;-20,U287&gt;T287,E287&lt;55)))),"GOOD","")</f>
        <v/>
      </c>
      <c r="BS287" s="21"/>
    </row>
    <row r="288" spans="1:71" ht="17.25" x14ac:dyDescent="0.3">
      <c r="A288" s="3"/>
      <c r="D288" s="8" t="str">
        <f>IF(ISBLANK(T288),"",CONCATENATE(T288,"-",U288))</f>
        <v/>
      </c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>
        <f>IF(NOT(ISBLANK(G288)),ABS(G288),0)</f>
        <v>0</v>
      </c>
      <c r="BM288">
        <f>IF(NOT(ISBLANK(AK288)),ABS(AK288),0)</f>
        <v>0</v>
      </c>
      <c r="BN288">
        <f>IF(NOT(ISBLANK(AX288)),ABS(AX288),0)</f>
        <v>0</v>
      </c>
      <c r="BO288">
        <f>IF(NOT(ISBLANK(BK288)),ABS(BK288),0)</f>
        <v>0</v>
      </c>
      <c r="BP288">
        <f>IF(ISBLANK(E288),0,ABS(E288-50))</f>
        <v>0</v>
      </c>
      <c r="BQ288" s="21" t="str">
        <f>IF(OR(ISBLANK(V288),ISBLANK(W288)),"",IF(SUM(V288,W288)=0,"",CONCATENATE(V288,"-",W288)))</f>
        <v/>
      </c>
      <c r="BR288" s="21" t="str">
        <f>IF(OR(AND(OR(AND(A288&gt;75,X288="Final Handicap"),AND(A288&gt;25,X288="1st half Handicap")),OR(AND(G288&gt;20,U288&lt;T288,E288&gt;45),AND(G288&lt;-20,U288&gt;T288,E288&lt;55))),AND(AND(A288-Y288&lt;200,A288-Y288&gt;9),OR(AND(A288&gt;75,X288="Final Handicap"),AND(A288&gt;25,X288="1st half Handicap")),OR(AND(AK288&gt;20,U288&lt;T288,E288&gt;45),AND(AK288&lt;-20,U288&gt;T288,E288&lt;55))),AND(AND(A288-AL288&lt;200,A288-AL288&gt;9),OR(AND(A288&gt;75,X288="Final Handicap"),AND(A288&gt;25,X288="1st half Handicap")),OR(AND(AX288&gt;20,U288&lt;T288,E288&gt;45),AND(AX288&lt;-20,U288&gt;T288,E288&lt;55))),AND(AND(A288-AY288&lt;200,A288-AY288&gt;9),OR(AND(A288&gt;75,X288="Final Handicap"),AND(A288&gt;25,X288="1st half Handicap")),OR(AND(BK288&gt;20,U288&lt;T288,E288&gt;45),AND(BK288&lt;-20,U288&gt;T288,E288&lt;55)))),"GOOD","")</f>
        <v/>
      </c>
      <c r="BS288" s="21"/>
    </row>
    <row r="289" spans="1:71" ht="17.25" x14ac:dyDescent="0.3">
      <c r="A289" s="3"/>
      <c r="D289" s="8" t="str">
        <f>IF(ISBLANK(T289),"",CONCATENATE(T289,"-",U289))</f>
        <v/>
      </c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>
        <f>IF(NOT(ISBLANK(G289)),ABS(G289),0)</f>
        <v>0</v>
      </c>
      <c r="BM289">
        <f>IF(NOT(ISBLANK(AK289)),ABS(AK289),0)</f>
        <v>0</v>
      </c>
      <c r="BN289">
        <f>IF(NOT(ISBLANK(AX289)),ABS(AX289),0)</f>
        <v>0</v>
      </c>
      <c r="BO289">
        <f>IF(NOT(ISBLANK(BK289)),ABS(BK289),0)</f>
        <v>0</v>
      </c>
      <c r="BP289">
        <f>IF(ISBLANK(E289),0,ABS(E289-50))</f>
        <v>0</v>
      </c>
      <c r="BQ289" s="21" t="str">
        <f>IF(OR(ISBLANK(V289),ISBLANK(W289)),"",IF(SUM(V289,W289)=0,"",CONCATENATE(V289,"-",W289)))</f>
        <v/>
      </c>
      <c r="BR289" s="21" t="str">
        <f>IF(OR(AND(OR(AND(A289&gt;75,X289="Final Handicap"),AND(A289&gt;25,X289="1st half Handicap")),OR(AND(G289&gt;20,U289&lt;T289,E289&gt;45),AND(G289&lt;-20,U289&gt;T289,E289&lt;55))),AND(AND(A289-Y289&lt;200,A289-Y289&gt;9),OR(AND(A289&gt;75,X289="Final Handicap"),AND(A289&gt;25,X289="1st half Handicap")),OR(AND(AK289&gt;20,U289&lt;T289,E289&gt;45),AND(AK289&lt;-20,U289&gt;T289,E289&lt;55))),AND(AND(A289-AL289&lt;200,A289-AL289&gt;9),OR(AND(A289&gt;75,X289="Final Handicap"),AND(A289&gt;25,X289="1st half Handicap")),OR(AND(AX289&gt;20,U289&lt;T289,E289&gt;45),AND(AX289&lt;-20,U289&gt;T289,E289&lt;55))),AND(AND(A289-AY289&lt;200,A289-AY289&gt;9),OR(AND(A289&gt;75,X289="Final Handicap"),AND(A289&gt;25,X289="1st half Handicap")),OR(AND(BK289&gt;20,U289&lt;T289,E289&gt;45),AND(BK289&lt;-20,U289&gt;T289,E289&lt;55)))),"GOOD","")</f>
        <v/>
      </c>
      <c r="BS289" s="21"/>
    </row>
    <row r="290" spans="1:71" ht="17.25" x14ac:dyDescent="0.3">
      <c r="A290" s="3"/>
      <c r="D290" s="8" t="str">
        <f>IF(ISBLANK(T290),"",CONCATENATE(T290,"-",U290))</f>
        <v/>
      </c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>
        <f>IF(NOT(ISBLANK(G290)),ABS(G290),0)</f>
        <v>0</v>
      </c>
      <c r="BM290">
        <f>IF(NOT(ISBLANK(AK290)),ABS(AK290),0)</f>
        <v>0</v>
      </c>
      <c r="BN290">
        <f>IF(NOT(ISBLANK(AX290)),ABS(AX290),0)</f>
        <v>0</v>
      </c>
      <c r="BO290">
        <f>IF(NOT(ISBLANK(BK290)),ABS(BK290),0)</f>
        <v>0</v>
      </c>
      <c r="BP290">
        <f>IF(ISBLANK(E290),0,ABS(E290-50))</f>
        <v>0</v>
      </c>
      <c r="BQ290" s="21" t="str">
        <f>IF(OR(ISBLANK(V290),ISBLANK(W290)),"",IF(SUM(V290,W290)=0,"",CONCATENATE(V290,"-",W290)))</f>
        <v/>
      </c>
      <c r="BR290" s="21" t="str">
        <f>IF(OR(AND(OR(AND(A290&gt;75,X290="Final Handicap"),AND(A290&gt;25,X290="1st half Handicap")),OR(AND(G290&gt;20,U290&lt;T290,E290&gt;45),AND(G290&lt;-20,U290&gt;T290,E290&lt;55))),AND(AND(A290-Y290&lt;200,A290-Y290&gt;9),OR(AND(A290&gt;75,X290="Final Handicap"),AND(A290&gt;25,X290="1st half Handicap")),OR(AND(AK290&gt;20,U290&lt;T290,E290&gt;45),AND(AK290&lt;-20,U290&gt;T290,E290&lt;55))),AND(AND(A290-AL290&lt;200,A290-AL290&gt;9),OR(AND(A290&gt;75,X290="Final Handicap"),AND(A290&gt;25,X290="1st half Handicap")),OR(AND(AX290&gt;20,U290&lt;T290,E290&gt;45),AND(AX290&lt;-20,U290&gt;T290,E290&lt;55))),AND(AND(A290-AY290&lt;200,A290-AY290&gt;9),OR(AND(A290&gt;75,X290="Final Handicap"),AND(A290&gt;25,X290="1st half Handicap")),OR(AND(BK290&gt;20,U290&lt;T290,E290&gt;45),AND(BK290&lt;-20,U290&gt;T290,E290&lt;55)))),"GOOD","")</f>
        <v/>
      </c>
      <c r="BS290" s="21"/>
    </row>
    <row r="291" spans="1:71" ht="17.25" x14ac:dyDescent="0.3">
      <c r="A291" s="3"/>
      <c r="D291" s="8" t="str">
        <f>IF(ISBLANK(T291),"",CONCATENATE(T291,"-",U291))</f>
        <v/>
      </c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>
        <f>IF(NOT(ISBLANK(G291)),ABS(G291),0)</f>
        <v>0</v>
      </c>
      <c r="BM291">
        <f>IF(NOT(ISBLANK(AK291)),ABS(AK291),0)</f>
        <v>0</v>
      </c>
      <c r="BN291">
        <f>IF(NOT(ISBLANK(AX291)),ABS(AX291),0)</f>
        <v>0</v>
      </c>
      <c r="BO291">
        <f>IF(NOT(ISBLANK(BK291)),ABS(BK291),0)</f>
        <v>0</v>
      </c>
      <c r="BP291">
        <f>IF(ISBLANK(E291),0,ABS(E291-50))</f>
        <v>0</v>
      </c>
      <c r="BQ291" s="21" t="str">
        <f>IF(OR(ISBLANK(V291),ISBLANK(W291)),"",IF(SUM(V291,W291)=0,"",CONCATENATE(V291,"-",W291)))</f>
        <v/>
      </c>
      <c r="BR291" s="21" t="str">
        <f>IF(OR(AND(OR(AND(A291&gt;75,X291="Final Handicap"),AND(A291&gt;25,X291="1st half Handicap")),OR(AND(G291&gt;20,U291&lt;T291,E291&gt;45),AND(G291&lt;-20,U291&gt;T291,E291&lt;55))),AND(AND(A291-Y291&lt;200,A291-Y291&gt;9),OR(AND(A291&gt;75,X291="Final Handicap"),AND(A291&gt;25,X291="1st half Handicap")),OR(AND(AK291&gt;20,U291&lt;T291,E291&gt;45),AND(AK291&lt;-20,U291&gt;T291,E291&lt;55))),AND(AND(A291-AL291&lt;200,A291-AL291&gt;9),OR(AND(A291&gt;75,X291="Final Handicap"),AND(A291&gt;25,X291="1st half Handicap")),OR(AND(AX291&gt;20,U291&lt;T291,E291&gt;45),AND(AX291&lt;-20,U291&gt;T291,E291&lt;55))),AND(AND(A291-AY291&lt;200,A291-AY291&gt;9),OR(AND(A291&gt;75,X291="Final Handicap"),AND(A291&gt;25,X291="1st half Handicap")),OR(AND(BK291&gt;20,U291&lt;T291,E291&gt;45),AND(BK291&lt;-20,U291&gt;T291,E291&lt;55)))),"GOOD","")</f>
        <v/>
      </c>
      <c r="BS291" s="21"/>
    </row>
    <row r="292" spans="1:71" ht="17.25" x14ac:dyDescent="0.3">
      <c r="A292" s="3"/>
      <c r="D292" s="8" t="str">
        <f>IF(ISBLANK(T292),"",CONCATENATE(T292,"-",U292))</f>
        <v/>
      </c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>
        <f>IF(NOT(ISBLANK(G292)),ABS(G292),0)</f>
        <v>0</v>
      </c>
      <c r="BM292">
        <f>IF(NOT(ISBLANK(AK292)),ABS(AK292),0)</f>
        <v>0</v>
      </c>
      <c r="BN292">
        <f>IF(NOT(ISBLANK(AX292)),ABS(AX292),0)</f>
        <v>0</v>
      </c>
      <c r="BO292">
        <f>IF(NOT(ISBLANK(BK292)),ABS(BK292),0)</f>
        <v>0</v>
      </c>
      <c r="BP292">
        <f>IF(ISBLANK(E292),0,ABS(E292-50))</f>
        <v>0</v>
      </c>
      <c r="BQ292" s="21" t="str">
        <f>IF(OR(ISBLANK(V292),ISBLANK(W292)),"",IF(SUM(V292,W292)=0,"",CONCATENATE(V292,"-",W292)))</f>
        <v/>
      </c>
      <c r="BR292" s="21" t="str">
        <f>IF(OR(AND(OR(AND(A292&gt;75,X292="Final Handicap"),AND(A292&gt;25,X292="1st half Handicap")),OR(AND(G292&gt;20,U292&lt;T292,E292&gt;45),AND(G292&lt;-20,U292&gt;T292,E292&lt;55))),AND(AND(A292-Y292&lt;200,A292-Y292&gt;9),OR(AND(A292&gt;75,X292="Final Handicap"),AND(A292&gt;25,X292="1st half Handicap")),OR(AND(AK292&gt;20,U292&lt;T292,E292&gt;45),AND(AK292&lt;-20,U292&gt;T292,E292&lt;55))),AND(AND(A292-AL292&lt;200,A292-AL292&gt;9),OR(AND(A292&gt;75,X292="Final Handicap"),AND(A292&gt;25,X292="1st half Handicap")),OR(AND(AX292&gt;20,U292&lt;T292,E292&gt;45),AND(AX292&lt;-20,U292&gt;T292,E292&lt;55))),AND(AND(A292-AY292&lt;200,A292-AY292&gt;9),OR(AND(A292&gt;75,X292="Final Handicap"),AND(A292&gt;25,X292="1st half Handicap")),OR(AND(BK292&gt;20,U292&lt;T292,E292&gt;45),AND(BK292&lt;-20,U292&gt;T292,E292&lt;55)))),"GOOD","")</f>
        <v/>
      </c>
      <c r="BS292" s="21"/>
    </row>
    <row r="293" spans="1:71" ht="17.25" x14ac:dyDescent="0.3">
      <c r="A293" s="3"/>
      <c r="D293" s="8" t="str">
        <f>IF(ISBLANK(T293),"",CONCATENATE(T293,"-",U293))</f>
        <v/>
      </c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>
        <f>IF(NOT(ISBLANK(G293)),ABS(G293),0)</f>
        <v>0</v>
      </c>
      <c r="BM293">
        <f>IF(NOT(ISBLANK(AK293)),ABS(AK293),0)</f>
        <v>0</v>
      </c>
      <c r="BN293">
        <f>IF(NOT(ISBLANK(AX293)),ABS(AX293),0)</f>
        <v>0</v>
      </c>
      <c r="BO293">
        <f>IF(NOT(ISBLANK(BK293)),ABS(BK293),0)</f>
        <v>0</v>
      </c>
      <c r="BP293">
        <f>IF(ISBLANK(E293),0,ABS(E293-50))</f>
        <v>0</v>
      </c>
      <c r="BQ293" s="21" t="str">
        <f>IF(OR(ISBLANK(V293),ISBLANK(W293)),"",IF(SUM(V293,W293)=0,"",CONCATENATE(V293,"-",W293)))</f>
        <v/>
      </c>
      <c r="BR293" s="21" t="str">
        <f>IF(OR(AND(OR(AND(A293&gt;75,X293="Final Handicap"),AND(A293&gt;25,X293="1st half Handicap")),OR(AND(G293&gt;20,U293&lt;T293,E293&gt;45),AND(G293&lt;-20,U293&gt;T293,E293&lt;55))),AND(AND(A293-Y293&lt;200,A293-Y293&gt;9),OR(AND(A293&gt;75,X293="Final Handicap"),AND(A293&gt;25,X293="1st half Handicap")),OR(AND(AK293&gt;20,U293&lt;T293,E293&gt;45),AND(AK293&lt;-20,U293&gt;T293,E293&lt;55))),AND(AND(A293-AL293&lt;200,A293-AL293&gt;9),OR(AND(A293&gt;75,X293="Final Handicap"),AND(A293&gt;25,X293="1st half Handicap")),OR(AND(AX293&gt;20,U293&lt;T293,E293&gt;45),AND(AX293&lt;-20,U293&gt;T293,E293&lt;55))),AND(AND(A293-AY293&lt;200,A293-AY293&gt;9),OR(AND(A293&gt;75,X293="Final Handicap"),AND(A293&gt;25,X293="1st half Handicap")),OR(AND(BK293&gt;20,U293&lt;T293,E293&gt;45),AND(BK293&lt;-20,U293&gt;T293,E293&lt;55)))),"GOOD","")</f>
        <v/>
      </c>
      <c r="BS293" s="21"/>
    </row>
    <row r="294" spans="1:71" ht="17.25" x14ac:dyDescent="0.3">
      <c r="A294" s="3"/>
      <c r="D294" s="8" t="str">
        <f>IF(ISBLANK(T294),"",CONCATENATE(T294,"-",U294))</f>
        <v/>
      </c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>
        <f>IF(NOT(ISBLANK(G294)),ABS(G294),0)</f>
        <v>0</v>
      </c>
      <c r="BM294">
        <f>IF(NOT(ISBLANK(AK294)),ABS(AK294),0)</f>
        <v>0</v>
      </c>
      <c r="BN294">
        <f>IF(NOT(ISBLANK(AX294)),ABS(AX294),0)</f>
        <v>0</v>
      </c>
      <c r="BO294">
        <f>IF(NOT(ISBLANK(BK294)),ABS(BK294),0)</f>
        <v>0</v>
      </c>
      <c r="BP294">
        <f>IF(ISBLANK(E294),0,ABS(E294-50))</f>
        <v>0</v>
      </c>
      <c r="BQ294" s="21" t="str">
        <f>IF(OR(ISBLANK(V294),ISBLANK(W294)),"",IF(SUM(V294,W294)=0,"",CONCATENATE(V294,"-",W294)))</f>
        <v/>
      </c>
      <c r="BR294" s="21" t="str">
        <f>IF(OR(AND(OR(AND(A294&gt;75,X294="Final Handicap"),AND(A294&gt;25,X294="1st half Handicap")),OR(AND(G294&gt;20,U294&lt;T294,E294&gt;45),AND(G294&lt;-20,U294&gt;T294,E294&lt;55))),AND(AND(A294-Y294&lt;200,A294-Y294&gt;9),OR(AND(A294&gt;75,X294="Final Handicap"),AND(A294&gt;25,X294="1st half Handicap")),OR(AND(AK294&gt;20,U294&lt;T294,E294&gt;45),AND(AK294&lt;-20,U294&gt;T294,E294&lt;55))),AND(AND(A294-AL294&lt;200,A294-AL294&gt;9),OR(AND(A294&gt;75,X294="Final Handicap"),AND(A294&gt;25,X294="1st half Handicap")),OR(AND(AX294&gt;20,U294&lt;T294,E294&gt;45),AND(AX294&lt;-20,U294&gt;T294,E294&lt;55))),AND(AND(A294-AY294&lt;200,A294-AY294&gt;9),OR(AND(A294&gt;75,X294="Final Handicap"),AND(A294&gt;25,X294="1st half Handicap")),OR(AND(BK294&gt;20,U294&lt;T294,E294&gt;45),AND(BK294&lt;-20,U294&gt;T294,E294&lt;55)))),"GOOD","")</f>
        <v/>
      </c>
      <c r="BS294" s="21"/>
    </row>
    <row r="295" spans="1:71" ht="17.25" x14ac:dyDescent="0.3">
      <c r="A295" s="3"/>
      <c r="D295" s="8" t="str">
        <f>IF(ISBLANK(T295),"",CONCATENATE(T295,"-",U295))</f>
        <v/>
      </c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>
        <f>IF(NOT(ISBLANK(G295)),ABS(G295),0)</f>
        <v>0</v>
      </c>
      <c r="BM295">
        <f>IF(NOT(ISBLANK(AK295)),ABS(AK295),0)</f>
        <v>0</v>
      </c>
      <c r="BN295">
        <f>IF(NOT(ISBLANK(AX295)),ABS(AX295),0)</f>
        <v>0</v>
      </c>
      <c r="BO295">
        <f>IF(NOT(ISBLANK(BK295)),ABS(BK295),0)</f>
        <v>0</v>
      </c>
      <c r="BP295">
        <f>IF(ISBLANK(E295),0,ABS(E295-50))</f>
        <v>0</v>
      </c>
      <c r="BQ295" s="21" t="str">
        <f>IF(OR(ISBLANK(V295),ISBLANK(W295)),"",IF(SUM(V295,W295)=0,"",CONCATENATE(V295,"-",W295)))</f>
        <v/>
      </c>
      <c r="BR295" s="21" t="str">
        <f>IF(OR(AND(OR(AND(A295&gt;75,X295="Final Handicap"),AND(A295&gt;25,X295="1st half Handicap")),OR(AND(G295&gt;20,U295&lt;T295,E295&gt;45),AND(G295&lt;-20,U295&gt;T295,E295&lt;55))),AND(AND(A295-Y295&lt;200,A295-Y295&gt;9),OR(AND(A295&gt;75,X295="Final Handicap"),AND(A295&gt;25,X295="1st half Handicap")),OR(AND(AK295&gt;20,U295&lt;T295,E295&gt;45),AND(AK295&lt;-20,U295&gt;T295,E295&lt;55))),AND(AND(A295-AL295&lt;200,A295-AL295&gt;9),OR(AND(A295&gt;75,X295="Final Handicap"),AND(A295&gt;25,X295="1st half Handicap")),OR(AND(AX295&gt;20,U295&lt;T295,E295&gt;45),AND(AX295&lt;-20,U295&gt;T295,E295&lt;55))),AND(AND(A295-AY295&lt;200,A295-AY295&gt;9),OR(AND(A295&gt;75,X295="Final Handicap"),AND(A295&gt;25,X295="1st half Handicap")),OR(AND(BK295&gt;20,U295&lt;T295,E295&gt;45),AND(BK295&lt;-20,U295&gt;T295,E295&lt;55)))),"GOOD","")</f>
        <v/>
      </c>
      <c r="BS295" s="21"/>
    </row>
    <row r="296" spans="1:71" ht="17.25" x14ac:dyDescent="0.3">
      <c r="A296" s="3"/>
      <c r="D296" s="8" t="str">
        <f>IF(ISBLANK(T296),"",CONCATENATE(T296,"-",U296))</f>
        <v/>
      </c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>
        <f>IF(NOT(ISBLANK(G296)),ABS(G296),0)</f>
        <v>0</v>
      </c>
      <c r="BM296">
        <f>IF(NOT(ISBLANK(AK296)),ABS(AK296),0)</f>
        <v>0</v>
      </c>
      <c r="BN296">
        <f>IF(NOT(ISBLANK(AX296)),ABS(AX296),0)</f>
        <v>0</v>
      </c>
      <c r="BO296">
        <f>IF(NOT(ISBLANK(BK296)),ABS(BK296),0)</f>
        <v>0</v>
      </c>
      <c r="BP296">
        <f>IF(ISBLANK(E296),0,ABS(E296-50))</f>
        <v>0</v>
      </c>
      <c r="BQ296" s="21" t="str">
        <f>IF(OR(ISBLANK(V296),ISBLANK(W296)),"",IF(SUM(V296,W296)=0,"",CONCATENATE(V296,"-",W296)))</f>
        <v/>
      </c>
      <c r="BR296" s="21" t="str">
        <f>IF(OR(AND(OR(AND(A296&gt;75,X296="Final Handicap"),AND(A296&gt;25,X296="1st half Handicap")),OR(AND(G296&gt;20,U296&lt;T296,E296&gt;45),AND(G296&lt;-20,U296&gt;T296,E296&lt;55))),AND(AND(A296-Y296&lt;200,A296-Y296&gt;9),OR(AND(A296&gt;75,X296="Final Handicap"),AND(A296&gt;25,X296="1st half Handicap")),OR(AND(AK296&gt;20,U296&lt;T296,E296&gt;45),AND(AK296&lt;-20,U296&gt;T296,E296&lt;55))),AND(AND(A296-AL296&lt;200,A296-AL296&gt;9),OR(AND(A296&gt;75,X296="Final Handicap"),AND(A296&gt;25,X296="1st half Handicap")),OR(AND(AX296&gt;20,U296&lt;T296,E296&gt;45),AND(AX296&lt;-20,U296&gt;T296,E296&lt;55))),AND(AND(A296-AY296&lt;200,A296-AY296&gt;9),OR(AND(A296&gt;75,X296="Final Handicap"),AND(A296&gt;25,X296="1st half Handicap")),OR(AND(BK296&gt;20,U296&lt;T296,E296&gt;45),AND(BK296&lt;-20,U296&gt;T296,E296&lt;55)))),"GOOD","")</f>
        <v/>
      </c>
      <c r="BS296" s="21"/>
    </row>
    <row r="297" spans="1:71" ht="17.25" x14ac:dyDescent="0.3">
      <c r="A297" s="3"/>
      <c r="D297" s="8" t="str">
        <f>IF(ISBLANK(T297),"",CONCATENATE(T297,"-",U297))</f>
        <v/>
      </c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>
        <f>IF(NOT(ISBLANK(G297)),ABS(G297),0)</f>
        <v>0</v>
      </c>
      <c r="BM297">
        <f>IF(NOT(ISBLANK(AK297)),ABS(AK297),0)</f>
        <v>0</v>
      </c>
      <c r="BN297">
        <f>IF(NOT(ISBLANK(AX297)),ABS(AX297),0)</f>
        <v>0</v>
      </c>
      <c r="BO297">
        <f>IF(NOT(ISBLANK(BK297)),ABS(BK297),0)</f>
        <v>0</v>
      </c>
      <c r="BP297">
        <f>IF(ISBLANK(E297),0,ABS(E297-50))</f>
        <v>0</v>
      </c>
      <c r="BQ297" s="21" t="str">
        <f>IF(OR(ISBLANK(V297),ISBLANK(W297)),"",IF(SUM(V297,W297)=0,"",CONCATENATE(V297,"-",W297)))</f>
        <v/>
      </c>
      <c r="BR297" s="21" t="str">
        <f>IF(OR(AND(OR(AND(A297&gt;75,X297="Final Handicap"),AND(A297&gt;25,X297="1st half Handicap")),OR(AND(G297&gt;20,U297&lt;T297,E297&gt;45),AND(G297&lt;-20,U297&gt;T297,E297&lt;55))),AND(AND(A297-Y297&lt;200,A297-Y297&gt;9),OR(AND(A297&gt;75,X297="Final Handicap"),AND(A297&gt;25,X297="1st half Handicap")),OR(AND(AK297&gt;20,U297&lt;T297,E297&gt;45),AND(AK297&lt;-20,U297&gt;T297,E297&lt;55))),AND(AND(A297-AL297&lt;200,A297-AL297&gt;9),OR(AND(A297&gt;75,X297="Final Handicap"),AND(A297&gt;25,X297="1st half Handicap")),OR(AND(AX297&gt;20,U297&lt;T297,E297&gt;45),AND(AX297&lt;-20,U297&gt;T297,E297&lt;55))),AND(AND(A297-AY297&lt;200,A297-AY297&gt;9),OR(AND(A297&gt;75,X297="Final Handicap"),AND(A297&gt;25,X297="1st half Handicap")),OR(AND(BK297&gt;20,U297&lt;T297,E297&gt;45),AND(BK297&lt;-20,U297&gt;T297,E297&lt;55)))),"GOOD","")</f>
        <v/>
      </c>
      <c r="BS297" s="21"/>
    </row>
    <row r="298" spans="1:71" ht="17.25" x14ac:dyDescent="0.3">
      <c r="A298" s="3"/>
      <c r="D298" s="8" t="str">
        <f>IF(ISBLANK(T298),"",CONCATENATE(T298,"-",U298))</f>
        <v/>
      </c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>
        <f>IF(NOT(ISBLANK(G298)),ABS(G298),0)</f>
        <v>0</v>
      </c>
      <c r="BM298">
        <f>IF(NOT(ISBLANK(AK298)),ABS(AK298),0)</f>
        <v>0</v>
      </c>
      <c r="BN298">
        <f>IF(NOT(ISBLANK(AX298)),ABS(AX298),0)</f>
        <v>0</v>
      </c>
      <c r="BO298">
        <f>IF(NOT(ISBLANK(BK298)),ABS(BK298),0)</f>
        <v>0</v>
      </c>
      <c r="BP298">
        <f>IF(ISBLANK(E298),0,ABS(E298-50))</f>
        <v>0</v>
      </c>
      <c r="BQ298" s="21" t="str">
        <f>IF(OR(ISBLANK(V298),ISBLANK(W298)),"",IF(SUM(V298,W298)=0,"",CONCATENATE(V298,"-",W298)))</f>
        <v/>
      </c>
      <c r="BR298" s="21" t="str">
        <f>IF(OR(AND(OR(AND(A298&gt;75,X298="Final Handicap"),AND(A298&gt;25,X298="1st half Handicap")),OR(AND(G298&gt;20,U298&lt;T298,E298&gt;45),AND(G298&lt;-20,U298&gt;T298,E298&lt;55))),AND(AND(A298-Y298&lt;200,A298-Y298&gt;9),OR(AND(A298&gt;75,X298="Final Handicap"),AND(A298&gt;25,X298="1st half Handicap")),OR(AND(AK298&gt;20,U298&lt;T298,E298&gt;45),AND(AK298&lt;-20,U298&gt;T298,E298&lt;55))),AND(AND(A298-AL298&lt;200,A298-AL298&gt;9),OR(AND(A298&gt;75,X298="Final Handicap"),AND(A298&gt;25,X298="1st half Handicap")),OR(AND(AX298&gt;20,U298&lt;T298,E298&gt;45),AND(AX298&lt;-20,U298&gt;T298,E298&lt;55))),AND(AND(A298-AY298&lt;200,A298-AY298&gt;9),OR(AND(A298&gt;75,X298="Final Handicap"),AND(A298&gt;25,X298="1st half Handicap")),OR(AND(BK298&gt;20,U298&lt;T298,E298&gt;45),AND(BK298&lt;-20,U298&gt;T298,E298&lt;55)))),"GOOD","")</f>
        <v/>
      </c>
      <c r="BS298" s="21"/>
    </row>
    <row r="299" spans="1:71" ht="17.25" x14ac:dyDescent="0.3">
      <c r="A299" s="3"/>
      <c r="D299" s="8" t="str">
        <f>IF(ISBLANK(T299),"",CONCATENATE(T299,"-",U299))</f>
        <v/>
      </c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>
        <f>IF(NOT(ISBLANK(G299)),ABS(G299),0)</f>
        <v>0</v>
      </c>
      <c r="BM299">
        <f>IF(NOT(ISBLANK(AK299)),ABS(AK299),0)</f>
        <v>0</v>
      </c>
      <c r="BN299">
        <f>IF(NOT(ISBLANK(AX299)),ABS(AX299),0)</f>
        <v>0</v>
      </c>
      <c r="BO299">
        <f>IF(NOT(ISBLANK(BK299)),ABS(BK299),0)</f>
        <v>0</v>
      </c>
      <c r="BP299">
        <f>IF(ISBLANK(E299),0,ABS(E299-50))</f>
        <v>0</v>
      </c>
      <c r="BQ299" s="21" t="str">
        <f>IF(OR(ISBLANK(V299),ISBLANK(W299)),"",IF(SUM(V299,W299)=0,"",CONCATENATE(V299,"-",W299)))</f>
        <v/>
      </c>
      <c r="BR299" s="21" t="str">
        <f>IF(OR(AND(OR(AND(A299&gt;75,X299="Final Handicap"),AND(A299&gt;25,X299="1st half Handicap")),OR(AND(G299&gt;20,U299&lt;T299,E299&gt;45),AND(G299&lt;-20,U299&gt;T299,E299&lt;55))),AND(AND(A299-Y299&lt;200,A299-Y299&gt;9),OR(AND(A299&gt;75,X299="Final Handicap"),AND(A299&gt;25,X299="1st half Handicap")),OR(AND(AK299&gt;20,U299&lt;T299,E299&gt;45),AND(AK299&lt;-20,U299&gt;T299,E299&lt;55))),AND(AND(A299-AL299&lt;200,A299-AL299&gt;9),OR(AND(A299&gt;75,X299="Final Handicap"),AND(A299&gt;25,X299="1st half Handicap")),OR(AND(AX299&gt;20,U299&lt;T299,E299&gt;45),AND(AX299&lt;-20,U299&gt;T299,E299&lt;55))),AND(AND(A299-AY299&lt;200,A299-AY299&gt;9),OR(AND(A299&gt;75,X299="Final Handicap"),AND(A299&gt;25,X299="1st half Handicap")),OR(AND(BK299&gt;20,U299&lt;T299,E299&gt;45),AND(BK299&lt;-20,U299&gt;T299,E299&lt;55)))),"GOOD","")</f>
        <v/>
      </c>
      <c r="BS299" s="21"/>
    </row>
    <row r="300" spans="1:71" ht="17.25" x14ac:dyDescent="0.3">
      <c r="A300" s="3"/>
      <c r="D300" s="8" t="str">
        <f>IF(ISBLANK(T300),"",CONCATENATE(T300,"-",U300))</f>
        <v/>
      </c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>
        <f>IF(NOT(ISBLANK(G300)),ABS(G300),0)</f>
        <v>0</v>
      </c>
      <c r="BM300">
        <f>IF(NOT(ISBLANK(AK300)),ABS(AK300),0)</f>
        <v>0</v>
      </c>
      <c r="BN300">
        <f>IF(NOT(ISBLANK(AX300)),ABS(AX300),0)</f>
        <v>0</v>
      </c>
      <c r="BO300">
        <f>IF(NOT(ISBLANK(BK300)),ABS(BK300),0)</f>
        <v>0</v>
      </c>
      <c r="BP300">
        <f>IF(ISBLANK(E300),0,ABS(E300-50))</f>
        <v>0</v>
      </c>
      <c r="BQ300" s="21" t="str">
        <f>IF(OR(ISBLANK(V300),ISBLANK(W300)),"",IF(SUM(V300,W300)=0,"",CONCATENATE(V300,"-",W300)))</f>
        <v/>
      </c>
      <c r="BR300" s="21" t="str">
        <f>IF(OR(AND(OR(AND(A300&gt;75,X300="Final Handicap"),AND(A300&gt;25,X300="1st half Handicap")),OR(AND(G300&gt;20,U300&lt;T300,E300&gt;45),AND(G300&lt;-20,U300&gt;T300,E300&lt;55))),AND(AND(A300-Y300&lt;200,A300-Y300&gt;9),OR(AND(A300&gt;75,X300="Final Handicap"),AND(A300&gt;25,X300="1st half Handicap")),OR(AND(AK300&gt;20,U300&lt;T300,E300&gt;45),AND(AK300&lt;-20,U300&gt;T300,E300&lt;55))),AND(AND(A300-AL300&lt;200,A300-AL300&gt;9),OR(AND(A300&gt;75,X300="Final Handicap"),AND(A300&gt;25,X300="1st half Handicap")),OR(AND(AX300&gt;20,U300&lt;T300,E300&gt;45),AND(AX300&lt;-20,U300&gt;T300,E300&lt;55))),AND(AND(A300-AY300&lt;200,A300-AY300&gt;9),OR(AND(A300&gt;75,X300="Final Handicap"),AND(A300&gt;25,X300="1st half Handicap")),OR(AND(BK300&gt;20,U300&lt;T300,E300&gt;45),AND(BK300&lt;-20,U300&gt;T300,E300&lt;55)))),"GOOD","")</f>
        <v/>
      </c>
      <c r="BS300" s="21"/>
    </row>
    <row r="301" spans="1:71" ht="17.25" x14ac:dyDescent="0.3">
      <c r="A301" s="3"/>
      <c r="D301" s="8" t="str">
        <f>IF(ISBLANK(T301),"",CONCATENATE(T301,"-",U301))</f>
        <v/>
      </c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>
        <f>IF(NOT(ISBLANK(G301)),ABS(G301),0)</f>
        <v>0</v>
      </c>
      <c r="BM301">
        <f>IF(NOT(ISBLANK(AK301)),ABS(AK301),0)</f>
        <v>0</v>
      </c>
      <c r="BN301">
        <f>IF(NOT(ISBLANK(AX301)),ABS(AX301),0)</f>
        <v>0</v>
      </c>
      <c r="BO301">
        <f>IF(NOT(ISBLANK(BK301)),ABS(BK301),0)</f>
        <v>0</v>
      </c>
      <c r="BP301">
        <f>IF(ISBLANK(E301),0,ABS(E301-50))</f>
        <v>0</v>
      </c>
      <c r="BQ301" s="21" t="str">
        <f>IF(OR(ISBLANK(V301),ISBLANK(W301)),"",IF(SUM(V301,W301)=0,"",CONCATENATE(V301,"-",W301)))</f>
        <v/>
      </c>
      <c r="BR301" s="21" t="str">
        <f>IF(OR(AND(OR(AND(A301&gt;75,X301="Final Handicap"),AND(A301&gt;25,X301="1st half Handicap")),OR(AND(G301&gt;20,U301&lt;T301,E301&gt;45),AND(G301&lt;-20,U301&gt;T301,E301&lt;55))),AND(AND(A301-Y301&lt;200,A301-Y301&gt;9),OR(AND(A301&gt;75,X301="Final Handicap"),AND(A301&gt;25,X301="1st half Handicap")),OR(AND(AK301&gt;20,U301&lt;T301,E301&gt;45),AND(AK301&lt;-20,U301&gt;T301,E301&lt;55))),AND(AND(A301-AL301&lt;200,A301-AL301&gt;9),OR(AND(A301&gt;75,X301="Final Handicap"),AND(A301&gt;25,X301="1st half Handicap")),OR(AND(AX301&gt;20,U301&lt;T301,E301&gt;45),AND(AX301&lt;-20,U301&gt;T301,E301&lt;55))),AND(AND(A301-AY301&lt;200,A301-AY301&gt;9),OR(AND(A301&gt;75,X301="Final Handicap"),AND(A301&gt;25,X301="1st half Handicap")),OR(AND(BK301&gt;20,U301&lt;T301,E301&gt;45),AND(BK301&lt;-20,U301&gt;T301,E301&lt;55)))),"GOOD","")</f>
        <v/>
      </c>
      <c r="BS301" s="21"/>
    </row>
    <row r="302" spans="1:71" ht="17.25" x14ac:dyDescent="0.3">
      <c r="A302" s="3"/>
      <c r="D302" s="8" t="str">
        <f>IF(ISBLANK(T302),"",CONCATENATE(T302,"-",U302))</f>
        <v/>
      </c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>
        <f>IF(NOT(ISBLANK(G302)),ABS(G302),0)</f>
        <v>0</v>
      </c>
      <c r="BM302">
        <f>IF(NOT(ISBLANK(AK302)),ABS(AK302),0)</f>
        <v>0</v>
      </c>
      <c r="BN302">
        <f>IF(NOT(ISBLANK(AX302)),ABS(AX302),0)</f>
        <v>0</v>
      </c>
      <c r="BO302">
        <f>IF(NOT(ISBLANK(BK302)),ABS(BK302),0)</f>
        <v>0</v>
      </c>
      <c r="BP302">
        <f>IF(ISBLANK(E302),0,ABS(E302-50))</f>
        <v>0</v>
      </c>
      <c r="BQ302" s="21" t="str">
        <f>IF(OR(ISBLANK(V302),ISBLANK(W302)),"",IF(SUM(V302,W302)=0,"",CONCATENATE(V302,"-",W302)))</f>
        <v/>
      </c>
      <c r="BR302" s="21" t="str">
        <f>IF(OR(AND(OR(AND(A302&gt;75,X302="Final Handicap"),AND(A302&gt;25,X302="1st half Handicap")),OR(AND(G302&gt;20,U302&lt;T302,E302&gt;45),AND(G302&lt;-20,U302&gt;T302,E302&lt;55))),AND(AND(A302-Y302&lt;200,A302-Y302&gt;9),OR(AND(A302&gt;75,X302="Final Handicap"),AND(A302&gt;25,X302="1st half Handicap")),OR(AND(AK302&gt;20,U302&lt;T302,E302&gt;45),AND(AK302&lt;-20,U302&gt;T302,E302&lt;55))),AND(AND(A302-AL302&lt;200,A302-AL302&gt;9),OR(AND(A302&gt;75,X302="Final Handicap"),AND(A302&gt;25,X302="1st half Handicap")),OR(AND(AX302&gt;20,U302&lt;T302,E302&gt;45),AND(AX302&lt;-20,U302&gt;T302,E302&lt;55))),AND(AND(A302-AY302&lt;200,A302-AY302&gt;9),OR(AND(A302&gt;75,X302="Final Handicap"),AND(A302&gt;25,X302="1st half Handicap")),OR(AND(BK302&gt;20,U302&lt;T302,E302&gt;45),AND(BK302&lt;-20,U302&gt;T302,E302&lt;55)))),"GOOD","")</f>
        <v/>
      </c>
      <c r="BS302" s="21"/>
    </row>
    <row r="303" spans="1:71" ht="17.25" x14ac:dyDescent="0.3">
      <c r="A303" s="3"/>
      <c r="D303" s="8" t="str">
        <f>IF(ISBLANK(T303),"",CONCATENATE(T303,"-",U303))</f>
        <v/>
      </c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>
        <f>IF(NOT(ISBLANK(G303)),ABS(G303),0)</f>
        <v>0</v>
      </c>
      <c r="BM303">
        <f>IF(NOT(ISBLANK(AK303)),ABS(AK303),0)</f>
        <v>0</v>
      </c>
      <c r="BN303">
        <f>IF(NOT(ISBLANK(AX303)),ABS(AX303),0)</f>
        <v>0</v>
      </c>
      <c r="BO303">
        <f>IF(NOT(ISBLANK(BK303)),ABS(BK303),0)</f>
        <v>0</v>
      </c>
      <c r="BP303">
        <f>IF(ISBLANK(E303),0,ABS(E303-50))</f>
        <v>0</v>
      </c>
      <c r="BQ303" s="21" t="str">
        <f>IF(OR(ISBLANK(V303),ISBLANK(W303)),"",IF(SUM(V303,W303)=0,"",CONCATENATE(V303,"-",W303)))</f>
        <v/>
      </c>
      <c r="BR303" s="21" t="str">
        <f>IF(OR(AND(OR(AND(A303&gt;75,X303="Final Handicap"),AND(A303&gt;25,X303="1st half Handicap")),OR(AND(G303&gt;20,U303&lt;T303,E303&gt;45),AND(G303&lt;-20,U303&gt;T303,E303&lt;55))),AND(AND(A303-Y303&lt;200,A303-Y303&gt;9),OR(AND(A303&gt;75,X303="Final Handicap"),AND(A303&gt;25,X303="1st half Handicap")),OR(AND(AK303&gt;20,U303&lt;T303,E303&gt;45),AND(AK303&lt;-20,U303&gt;T303,E303&lt;55))),AND(AND(A303-AL303&lt;200,A303-AL303&gt;9),OR(AND(A303&gt;75,X303="Final Handicap"),AND(A303&gt;25,X303="1st half Handicap")),OR(AND(AX303&gt;20,U303&lt;T303,E303&gt;45),AND(AX303&lt;-20,U303&gt;T303,E303&lt;55))),AND(AND(A303-AY303&lt;200,A303-AY303&gt;9),OR(AND(A303&gt;75,X303="Final Handicap"),AND(A303&gt;25,X303="1st half Handicap")),OR(AND(BK303&gt;20,U303&lt;T303,E303&gt;45),AND(BK303&lt;-20,U303&gt;T303,E303&lt;55)))),"GOOD","")</f>
        <v/>
      </c>
      <c r="BS303" s="21"/>
    </row>
    <row r="304" spans="1:71" ht="17.25" x14ac:dyDescent="0.3">
      <c r="A304" s="3"/>
      <c r="D304" s="8" t="str">
        <f>IF(ISBLANK(T304),"",CONCATENATE(T304,"-",U304))</f>
        <v/>
      </c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>
        <f>IF(NOT(ISBLANK(G304)),ABS(G304),0)</f>
        <v>0</v>
      </c>
      <c r="BM304">
        <f>IF(NOT(ISBLANK(AK304)),ABS(AK304),0)</f>
        <v>0</v>
      </c>
      <c r="BN304">
        <f>IF(NOT(ISBLANK(AX304)),ABS(AX304),0)</f>
        <v>0</v>
      </c>
      <c r="BO304">
        <f>IF(NOT(ISBLANK(BK304)),ABS(BK304),0)</f>
        <v>0</v>
      </c>
      <c r="BP304">
        <f>IF(ISBLANK(E304),0,ABS(E304-50))</f>
        <v>0</v>
      </c>
      <c r="BQ304" s="21" t="str">
        <f>IF(OR(ISBLANK(V304),ISBLANK(W304)),"",IF(SUM(V304,W304)=0,"",CONCATENATE(V304,"-",W304)))</f>
        <v/>
      </c>
      <c r="BR304" s="21" t="str">
        <f>IF(OR(AND(OR(AND(A304&gt;75,X304="Final Handicap"),AND(A304&gt;25,X304="1st half Handicap")),OR(AND(G304&gt;20,U304&lt;T304,E304&gt;45),AND(G304&lt;-20,U304&gt;T304,E304&lt;55))),AND(AND(A304-Y304&lt;200,A304-Y304&gt;9),OR(AND(A304&gt;75,X304="Final Handicap"),AND(A304&gt;25,X304="1st half Handicap")),OR(AND(AK304&gt;20,U304&lt;T304,E304&gt;45),AND(AK304&lt;-20,U304&gt;T304,E304&lt;55))),AND(AND(A304-AL304&lt;200,A304-AL304&gt;9),OR(AND(A304&gt;75,X304="Final Handicap"),AND(A304&gt;25,X304="1st half Handicap")),OR(AND(AX304&gt;20,U304&lt;T304,E304&gt;45),AND(AX304&lt;-20,U304&gt;T304,E304&lt;55))),AND(AND(A304-AY304&lt;200,A304-AY304&gt;9),OR(AND(A304&gt;75,X304="Final Handicap"),AND(A304&gt;25,X304="1st half Handicap")),OR(AND(BK304&gt;20,U304&lt;T304,E304&gt;45),AND(BK304&lt;-20,U304&gt;T304,E304&lt;55)))),"GOOD","")</f>
        <v/>
      </c>
      <c r="BS304" s="21"/>
    </row>
    <row r="305" spans="1:71" ht="17.25" x14ac:dyDescent="0.3">
      <c r="A305" s="3"/>
      <c r="D305" s="8" t="str">
        <f>IF(ISBLANK(T305),"",CONCATENATE(T305,"-",U305))</f>
        <v/>
      </c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>
        <f>IF(NOT(ISBLANK(G305)),ABS(G305),0)</f>
        <v>0</v>
      </c>
      <c r="BM305">
        <f>IF(NOT(ISBLANK(AK305)),ABS(AK305),0)</f>
        <v>0</v>
      </c>
      <c r="BN305">
        <f>IF(NOT(ISBLANK(AX305)),ABS(AX305),0)</f>
        <v>0</v>
      </c>
      <c r="BO305">
        <f>IF(NOT(ISBLANK(BK305)),ABS(BK305),0)</f>
        <v>0</v>
      </c>
      <c r="BP305">
        <f>IF(ISBLANK(E305),0,ABS(E305-50))</f>
        <v>0</v>
      </c>
      <c r="BQ305" s="21" t="str">
        <f>IF(OR(ISBLANK(V305),ISBLANK(W305)),"",IF(SUM(V305,W305)=0,"",CONCATENATE(V305,"-",W305)))</f>
        <v/>
      </c>
      <c r="BR305" s="21" t="str">
        <f>IF(OR(AND(OR(AND(A305&gt;75,X305="Final Handicap"),AND(A305&gt;25,X305="1st half Handicap")),OR(AND(G305&gt;20,U305&lt;T305,E305&gt;45),AND(G305&lt;-20,U305&gt;T305,E305&lt;55))),AND(AND(A305-Y305&lt;200,A305-Y305&gt;9),OR(AND(A305&gt;75,X305="Final Handicap"),AND(A305&gt;25,X305="1st half Handicap")),OR(AND(AK305&gt;20,U305&lt;T305,E305&gt;45),AND(AK305&lt;-20,U305&gt;T305,E305&lt;55))),AND(AND(A305-AL305&lt;200,A305-AL305&gt;9),OR(AND(A305&gt;75,X305="Final Handicap"),AND(A305&gt;25,X305="1st half Handicap")),OR(AND(AX305&gt;20,U305&lt;T305,E305&gt;45),AND(AX305&lt;-20,U305&gt;T305,E305&lt;55))),AND(AND(A305-AY305&lt;200,A305-AY305&gt;9),OR(AND(A305&gt;75,X305="Final Handicap"),AND(A305&gt;25,X305="1st half Handicap")),OR(AND(BK305&gt;20,U305&lt;T305,E305&gt;45),AND(BK305&lt;-20,U305&gt;T305,E305&lt;55)))),"GOOD","")</f>
        <v/>
      </c>
      <c r="BS305" s="21"/>
    </row>
    <row r="306" spans="1:71" ht="17.25" x14ac:dyDescent="0.3">
      <c r="A306" s="3"/>
      <c r="D306" s="8" t="str">
        <f>IF(ISBLANK(T306),"",CONCATENATE(T306,"-",U306))</f>
        <v/>
      </c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>
        <f>IF(NOT(ISBLANK(G306)),ABS(G306),0)</f>
        <v>0</v>
      </c>
      <c r="BM306">
        <f>IF(NOT(ISBLANK(AK306)),ABS(AK306),0)</f>
        <v>0</v>
      </c>
      <c r="BN306">
        <f>IF(NOT(ISBLANK(AX306)),ABS(AX306),0)</f>
        <v>0</v>
      </c>
      <c r="BO306">
        <f>IF(NOT(ISBLANK(BK306)),ABS(BK306),0)</f>
        <v>0</v>
      </c>
      <c r="BP306">
        <f>IF(ISBLANK(E306),0,ABS(E306-50))</f>
        <v>0</v>
      </c>
      <c r="BQ306" s="21" t="str">
        <f>IF(OR(ISBLANK(V306),ISBLANK(W306)),"",IF(SUM(V306,W306)=0,"",CONCATENATE(V306,"-",W306)))</f>
        <v/>
      </c>
      <c r="BR306" s="21" t="str">
        <f>IF(OR(AND(OR(AND(A306&gt;75,X306="Final Handicap"),AND(A306&gt;25,X306="1st half Handicap")),OR(AND(G306&gt;20,U306&lt;T306,E306&gt;45),AND(G306&lt;-20,U306&gt;T306,E306&lt;55))),AND(AND(A306-Y306&lt;200,A306-Y306&gt;9),OR(AND(A306&gt;75,X306="Final Handicap"),AND(A306&gt;25,X306="1st half Handicap")),OR(AND(AK306&gt;20,U306&lt;T306,E306&gt;45),AND(AK306&lt;-20,U306&gt;T306,E306&lt;55))),AND(AND(A306-AL306&lt;200,A306-AL306&gt;9),OR(AND(A306&gt;75,X306="Final Handicap"),AND(A306&gt;25,X306="1st half Handicap")),OR(AND(AX306&gt;20,U306&lt;T306,E306&gt;45),AND(AX306&lt;-20,U306&gt;T306,E306&lt;55))),AND(AND(A306-AY306&lt;200,A306-AY306&gt;9),OR(AND(A306&gt;75,X306="Final Handicap"),AND(A306&gt;25,X306="1st half Handicap")),OR(AND(BK306&gt;20,U306&lt;T306,E306&gt;45),AND(BK306&lt;-20,U306&gt;T306,E306&lt;55)))),"GOOD","")</f>
        <v/>
      </c>
      <c r="BS306" s="21"/>
    </row>
    <row r="307" spans="1:71" ht="17.25" x14ac:dyDescent="0.3">
      <c r="A307" s="3"/>
      <c r="D307" s="8" t="str">
        <f>IF(ISBLANK(T307),"",CONCATENATE(T307,"-",U307))</f>
        <v/>
      </c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>
        <f>IF(NOT(ISBLANK(G307)),ABS(G307),0)</f>
        <v>0</v>
      </c>
      <c r="BM307">
        <f>IF(NOT(ISBLANK(AK307)),ABS(AK307),0)</f>
        <v>0</v>
      </c>
      <c r="BN307">
        <f>IF(NOT(ISBLANK(AX307)),ABS(AX307),0)</f>
        <v>0</v>
      </c>
      <c r="BO307">
        <f>IF(NOT(ISBLANK(BK307)),ABS(BK307),0)</f>
        <v>0</v>
      </c>
      <c r="BP307">
        <f>IF(ISBLANK(E307),0,ABS(E307-50))</f>
        <v>0</v>
      </c>
      <c r="BQ307" s="21" t="str">
        <f>IF(OR(ISBLANK(V307),ISBLANK(W307)),"",IF(SUM(V307,W307)=0,"",CONCATENATE(V307,"-",W307)))</f>
        <v/>
      </c>
      <c r="BR307" s="21" t="str">
        <f>IF(OR(AND(OR(AND(A307&gt;75,X307="Final Handicap"),AND(A307&gt;25,X307="1st half Handicap")),OR(AND(G307&gt;20,U307&lt;T307,E307&gt;45),AND(G307&lt;-20,U307&gt;T307,E307&lt;55))),AND(AND(A307-Y307&lt;200,A307-Y307&gt;9),OR(AND(A307&gt;75,X307="Final Handicap"),AND(A307&gt;25,X307="1st half Handicap")),OR(AND(AK307&gt;20,U307&lt;T307,E307&gt;45),AND(AK307&lt;-20,U307&gt;T307,E307&lt;55))),AND(AND(A307-AL307&lt;200,A307-AL307&gt;9),OR(AND(A307&gt;75,X307="Final Handicap"),AND(A307&gt;25,X307="1st half Handicap")),OR(AND(AX307&gt;20,U307&lt;T307,E307&gt;45),AND(AX307&lt;-20,U307&gt;T307,E307&lt;55))),AND(AND(A307-AY307&lt;200,A307-AY307&gt;9),OR(AND(A307&gt;75,X307="Final Handicap"),AND(A307&gt;25,X307="1st half Handicap")),OR(AND(BK307&gt;20,U307&lt;T307,E307&gt;45),AND(BK307&lt;-20,U307&gt;T307,E307&lt;55)))),"GOOD","")</f>
        <v/>
      </c>
      <c r="BS307" s="21"/>
    </row>
    <row r="308" spans="1:71" ht="17.25" x14ac:dyDescent="0.3">
      <c r="A308" s="3"/>
      <c r="D308" s="8" t="str">
        <f>IF(ISBLANK(T308),"",CONCATENATE(T308,"-",U308))</f>
        <v/>
      </c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>
        <f>IF(NOT(ISBLANK(G308)),ABS(G308),0)</f>
        <v>0</v>
      </c>
      <c r="BM308">
        <f>IF(NOT(ISBLANK(AK308)),ABS(AK308),0)</f>
        <v>0</v>
      </c>
      <c r="BN308">
        <f>IF(NOT(ISBLANK(AX308)),ABS(AX308),0)</f>
        <v>0</v>
      </c>
      <c r="BO308">
        <f>IF(NOT(ISBLANK(BK308)),ABS(BK308),0)</f>
        <v>0</v>
      </c>
      <c r="BP308">
        <f>IF(ISBLANK(E308),0,ABS(E308-50))</f>
        <v>0</v>
      </c>
      <c r="BQ308" s="21" t="str">
        <f>IF(OR(ISBLANK(V308),ISBLANK(W308)),"",IF(SUM(V308,W308)=0,"",CONCATENATE(V308,"-",W308)))</f>
        <v/>
      </c>
      <c r="BR308" s="21" t="str">
        <f>IF(OR(AND(OR(AND(A308&gt;75,X308="Final Handicap"),AND(A308&gt;25,X308="1st half Handicap")),OR(AND(G308&gt;20,U308&lt;T308,E308&gt;45),AND(G308&lt;-20,U308&gt;T308,E308&lt;55))),AND(AND(A308-Y308&lt;200,A308-Y308&gt;9),OR(AND(A308&gt;75,X308="Final Handicap"),AND(A308&gt;25,X308="1st half Handicap")),OR(AND(AK308&gt;20,U308&lt;T308,E308&gt;45),AND(AK308&lt;-20,U308&gt;T308,E308&lt;55))),AND(AND(A308-AL308&lt;200,A308-AL308&gt;9),OR(AND(A308&gt;75,X308="Final Handicap"),AND(A308&gt;25,X308="1st half Handicap")),OR(AND(AX308&gt;20,U308&lt;T308,E308&gt;45),AND(AX308&lt;-20,U308&gt;T308,E308&lt;55))),AND(AND(A308-AY308&lt;200,A308-AY308&gt;9),OR(AND(A308&gt;75,X308="Final Handicap"),AND(A308&gt;25,X308="1st half Handicap")),OR(AND(BK308&gt;20,U308&lt;T308,E308&gt;45),AND(BK308&lt;-20,U308&gt;T308,E308&lt;55)))),"GOOD","")</f>
        <v/>
      </c>
      <c r="BS308" s="21"/>
    </row>
    <row r="309" spans="1:71" ht="17.25" x14ac:dyDescent="0.3">
      <c r="A309" s="3"/>
      <c r="D309" s="8" t="str">
        <f>IF(ISBLANK(T309),"",CONCATENATE(T309,"-",U309))</f>
        <v/>
      </c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>
        <f>IF(NOT(ISBLANK(G309)),ABS(G309),0)</f>
        <v>0</v>
      </c>
      <c r="BM309">
        <f>IF(NOT(ISBLANK(AK309)),ABS(AK309),0)</f>
        <v>0</v>
      </c>
      <c r="BN309">
        <f>IF(NOT(ISBLANK(AX309)),ABS(AX309),0)</f>
        <v>0</v>
      </c>
      <c r="BO309">
        <f>IF(NOT(ISBLANK(BK309)),ABS(BK309),0)</f>
        <v>0</v>
      </c>
      <c r="BP309">
        <f>IF(ISBLANK(E309),0,ABS(E309-50))</f>
        <v>0</v>
      </c>
      <c r="BQ309" s="21" t="str">
        <f>IF(OR(ISBLANK(V309),ISBLANK(W309)),"",IF(SUM(V309,W309)=0,"",CONCATENATE(V309,"-",W309)))</f>
        <v/>
      </c>
      <c r="BR309" s="21" t="str">
        <f>IF(OR(AND(OR(AND(A309&gt;75,X309="Final Handicap"),AND(A309&gt;25,X309="1st half Handicap")),OR(AND(G309&gt;20,U309&lt;T309,E309&gt;45),AND(G309&lt;-20,U309&gt;T309,E309&lt;55))),AND(AND(A309-Y309&lt;200,A309-Y309&gt;9),OR(AND(A309&gt;75,X309="Final Handicap"),AND(A309&gt;25,X309="1st half Handicap")),OR(AND(AK309&gt;20,U309&lt;T309,E309&gt;45),AND(AK309&lt;-20,U309&gt;T309,E309&lt;55))),AND(AND(A309-AL309&lt;200,A309-AL309&gt;9),OR(AND(A309&gt;75,X309="Final Handicap"),AND(A309&gt;25,X309="1st half Handicap")),OR(AND(AX309&gt;20,U309&lt;T309,E309&gt;45),AND(AX309&lt;-20,U309&gt;T309,E309&lt;55))),AND(AND(A309-AY309&lt;200,A309-AY309&gt;9),OR(AND(A309&gt;75,X309="Final Handicap"),AND(A309&gt;25,X309="1st half Handicap")),OR(AND(BK309&gt;20,U309&lt;T309,E309&gt;45),AND(BK309&lt;-20,U309&gt;T309,E309&lt;55)))),"GOOD","")</f>
        <v/>
      </c>
      <c r="BS309" s="21"/>
    </row>
    <row r="310" spans="1:71" ht="17.25" x14ac:dyDescent="0.3">
      <c r="A310" s="3"/>
      <c r="D310" s="8" t="str">
        <f>IF(ISBLANK(T310),"",CONCATENATE(T310,"-",U310))</f>
        <v/>
      </c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>
        <f>IF(NOT(ISBLANK(G310)),ABS(G310),0)</f>
        <v>0</v>
      </c>
      <c r="BM310">
        <f>IF(NOT(ISBLANK(AK310)),ABS(AK310),0)</f>
        <v>0</v>
      </c>
      <c r="BN310">
        <f>IF(NOT(ISBLANK(AX310)),ABS(AX310),0)</f>
        <v>0</v>
      </c>
      <c r="BO310">
        <f>IF(NOT(ISBLANK(BK310)),ABS(BK310),0)</f>
        <v>0</v>
      </c>
      <c r="BP310">
        <f>IF(ISBLANK(E310),0,ABS(E310-50))</f>
        <v>0</v>
      </c>
      <c r="BQ310" s="21" t="str">
        <f>IF(OR(ISBLANK(V310),ISBLANK(W310)),"",IF(SUM(V310,W310)=0,"",CONCATENATE(V310,"-",W310)))</f>
        <v/>
      </c>
      <c r="BR310" s="21" t="str">
        <f>IF(OR(AND(OR(AND(A310&gt;75,X310="Final Handicap"),AND(A310&gt;25,X310="1st half Handicap")),OR(AND(G310&gt;20,U310&lt;T310,E310&gt;45),AND(G310&lt;-20,U310&gt;T310,E310&lt;55))),AND(AND(A310-Y310&lt;200,A310-Y310&gt;9),OR(AND(A310&gt;75,X310="Final Handicap"),AND(A310&gt;25,X310="1st half Handicap")),OR(AND(AK310&gt;20,U310&lt;T310,E310&gt;45),AND(AK310&lt;-20,U310&gt;T310,E310&lt;55))),AND(AND(A310-AL310&lt;200,A310-AL310&gt;9),OR(AND(A310&gt;75,X310="Final Handicap"),AND(A310&gt;25,X310="1st half Handicap")),OR(AND(AX310&gt;20,U310&lt;T310,E310&gt;45),AND(AX310&lt;-20,U310&gt;T310,E310&lt;55))),AND(AND(A310-AY310&lt;200,A310-AY310&gt;9),OR(AND(A310&gt;75,X310="Final Handicap"),AND(A310&gt;25,X310="1st half Handicap")),OR(AND(BK310&gt;20,U310&lt;T310,E310&gt;45),AND(BK310&lt;-20,U310&gt;T310,E310&lt;55)))),"GOOD","")</f>
        <v/>
      </c>
      <c r="BS310" s="21"/>
    </row>
    <row r="311" spans="1:71" ht="17.25" x14ac:dyDescent="0.3">
      <c r="A311" s="3"/>
      <c r="D311" s="8" t="str">
        <f>IF(ISBLANK(T311),"",CONCATENATE(T311,"-",U311))</f>
        <v/>
      </c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>
        <f>IF(NOT(ISBLANK(G311)),ABS(G311),0)</f>
        <v>0</v>
      </c>
      <c r="BM311">
        <f>IF(NOT(ISBLANK(AK311)),ABS(AK311),0)</f>
        <v>0</v>
      </c>
      <c r="BN311">
        <f>IF(NOT(ISBLANK(AX311)),ABS(AX311),0)</f>
        <v>0</v>
      </c>
      <c r="BO311">
        <f>IF(NOT(ISBLANK(BK311)),ABS(BK311),0)</f>
        <v>0</v>
      </c>
      <c r="BP311">
        <f>IF(ISBLANK(E311),0,ABS(E311-50))</f>
        <v>0</v>
      </c>
      <c r="BQ311" s="21" t="str">
        <f>IF(OR(ISBLANK(V311),ISBLANK(W311)),"",IF(SUM(V311,W311)=0,"",CONCATENATE(V311,"-",W311)))</f>
        <v/>
      </c>
      <c r="BR311" s="21" t="str">
        <f>IF(OR(AND(OR(AND(A311&gt;75,X311="Final Handicap"),AND(A311&gt;25,X311="1st half Handicap")),OR(AND(G311&gt;20,U311&lt;T311,E311&gt;45),AND(G311&lt;-20,U311&gt;T311,E311&lt;55))),AND(AND(A311-Y311&lt;200,A311-Y311&gt;9),OR(AND(A311&gt;75,X311="Final Handicap"),AND(A311&gt;25,X311="1st half Handicap")),OR(AND(AK311&gt;20,U311&lt;T311,E311&gt;45),AND(AK311&lt;-20,U311&gt;T311,E311&lt;55))),AND(AND(A311-AL311&lt;200,A311-AL311&gt;9),OR(AND(A311&gt;75,X311="Final Handicap"),AND(A311&gt;25,X311="1st half Handicap")),OR(AND(AX311&gt;20,U311&lt;T311,E311&gt;45),AND(AX311&lt;-20,U311&gt;T311,E311&lt;55))),AND(AND(A311-AY311&lt;200,A311-AY311&gt;9),OR(AND(A311&gt;75,X311="Final Handicap"),AND(A311&gt;25,X311="1st half Handicap")),OR(AND(BK311&gt;20,U311&lt;T311,E311&gt;45),AND(BK311&lt;-20,U311&gt;T311,E311&lt;55)))),"GOOD","")</f>
        <v/>
      </c>
      <c r="BS311" s="21"/>
    </row>
    <row r="312" spans="1:71" ht="17.25" x14ac:dyDescent="0.3">
      <c r="A312" s="3"/>
      <c r="D312" s="8" t="str">
        <f>IF(ISBLANK(T312),"",CONCATENATE(T312,"-",U312))</f>
        <v/>
      </c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>
        <f>IF(NOT(ISBLANK(G312)),ABS(G312),0)</f>
        <v>0</v>
      </c>
      <c r="BM312">
        <f>IF(NOT(ISBLANK(AK312)),ABS(AK312),0)</f>
        <v>0</v>
      </c>
      <c r="BN312">
        <f>IF(NOT(ISBLANK(AX312)),ABS(AX312),0)</f>
        <v>0</v>
      </c>
      <c r="BO312">
        <f>IF(NOT(ISBLANK(BK312)),ABS(BK312),0)</f>
        <v>0</v>
      </c>
      <c r="BP312">
        <f>IF(ISBLANK(E312),0,ABS(E312-50))</f>
        <v>0</v>
      </c>
      <c r="BQ312" s="21" t="str">
        <f>IF(OR(ISBLANK(V312),ISBLANK(W312)),"",IF(SUM(V312,W312)=0,"",CONCATENATE(V312,"-",W312)))</f>
        <v/>
      </c>
      <c r="BR312" s="21" t="str">
        <f>IF(OR(AND(OR(AND(A312&gt;75,X312="Final Handicap"),AND(A312&gt;25,X312="1st half Handicap")),OR(AND(G312&gt;20,U312&lt;T312,E312&gt;45),AND(G312&lt;-20,U312&gt;T312,E312&lt;55))),AND(AND(A312-Y312&lt;200,A312-Y312&gt;9),OR(AND(A312&gt;75,X312="Final Handicap"),AND(A312&gt;25,X312="1st half Handicap")),OR(AND(AK312&gt;20,U312&lt;T312,E312&gt;45),AND(AK312&lt;-20,U312&gt;T312,E312&lt;55))),AND(AND(A312-AL312&lt;200,A312-AL312&gt;9),OR(AND(A312&gt;75,X312="Final Handicap"),AND(A312&gt;25,X312="1st half Handicap")),OR(AND(AX312&gt;20,U312&lt;T312,E312&gt;45),AND(AX312&lt;-20,U312&gt;T312,E312&lt;55))),AND(AND(A312-AY312&lt;200,A312-AY312&gt;9),OR(AND(A312&gt;75,X312="Final Handicap"),AND(A312&gt;25,X312="1st half Handicap")),OR(AND(BK312&gt;20,U312&lt;T312,E312&gt;45),AND(BK312&lt;-20,U312&gt;T312,E312&lt;55)))),"GOOD","")</f>
        <v/>
      </c>
      <c r="BS312" s="21"/>
    </row>
    <row r="313" spans="1:71" ht="17.25" x14ac:dyDescent="0.3">
      <c r="A313" s="3"/>
      <c r="D313" s="8" t="str">
        <f>IF(ISBLANK(T313),"",CONCATENATE(T313,"-",U313))</f>
        <v/>
      </c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>
        <f>IF(NOT(ISBLANK(G313)),ABS(G313),0)</f>
        <v>0</v>
      </c>
      <c r="BM313">
        <f>IF(NOT(ISBLANK(AK313)),ABS(AK313),0)</f>
        <v>0</v>
      </c>
      <c r="BN313">
        <f>IF(NOT(ISBLANK(AX313)),ABS(AX313),0)</f>
        <v>0</v>
      </c>
      <c r="BO313">
        <f>IF(NOT(ISBLANK(BK313)),ABS(BK313),0)</f>
        <v>0</v>
      </c>
      <c r="BP313">
        <f>IF(ISBLANK(E313),0,ABS(E313-50))</f>
        <v>0</v>
      </c>
      <c r="BQ313" s="21" t="str">
        <f>IF(OR(ISBLANK(V313),ISBLANK(W313)),"",IF(SUM(V313,W313)=0,"",CONCATENATE(V313,"-",W313)))</f>
        <v/>
      </c>
      <c r="BR313" s="21" t="str">
        <f>IF(OR(AND(OR(AND(A313&gt;75,X313="Final Handicap"),AND(A313&gt;25,X313="1st half Handicap")),OR(AND(G313&gt;20,U313&lt;T313,E313&gt;45),AND(G313&lt;-20,U313&gt;T313,E313&lt;55))),AND(AND(A313-Y313&lt;200,A313-Y313&gt;9),OR(AND(A313&gt;75,X313="Final Handicap"),AND(A313&gt;25,X313="1st half Handicap")),OR(AND(AK313&gt;20,U313&lt;T313,E313&gt;45),AND(AK313&lt;-20,U313&gt;T313,E313&lt;55))),AND(AND(A313-AL313&lt;200,A313-AL313&gt;9),OR(AND(A313&gt;75,X313="Final Handicap"),AND(A313&gt;25,X313="1st half Handicap")),OR(AND(AX313&gt;20,U313&lt;T313,E313&gt;45),AND(AX313&lt;-20,U313&gt;T313,E313&lt;55))),AND(AND(A313-AY313&lt;200,A313-AY313&gt;9),OR(AND(A313&gt;75,X313="Final Handicap"),AND(A313&gt;25,X313="1st half Handicap")),OR(AND(BK313&gt;20,U313&lt;T313,E313&gt;45),AND(BK313&lt;-20,U313&gt;T313,E313&lt;55)))),"GOOD","")</f>
        <v/>
      </c>
      <c r="BS313" s="21"/>
    </row>
    <row r="314" spans="1:71" ht="17.25" x14ac:dyDescent="0.3">
      <c r="A314" s="3"/>
      <c r="D314" s="8" t="str">
        <f>IF(ISBLANK(T314),"",CONCATENATE(T314,"-",U314))</f>
        <v/>
      </c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>
        <f>IF(NOT(ISBLANK(G314)),ABS(G314),0)</f>
        <v>0</v>
      </c>
      <c r="BM314">
        <f>IF(NOT(ISBLANK(AK314)),ABS(AK314),0)</f>
        <v>0</v>
      </c>
      <c r="BN314">
        <f>IF(NOT(ISBLANK(AX314)),ABS(AX314),0)</f>
        <v>0</v>
      </c>
      <c r="BO314">
        <f>IF(NOT(ISBLANK(BK314)),ABS(BK314),0)</f>
        <v>0</v>
      </c>
      <c r="BP314">
        <f>IF(ISBLANK(E314),0,ABS(E314-50))</f>
        <v>0</v>
      </c>
      <c r="BQ314" s="21" t="str">
        <f>IF(OR(ISBLANK(V314),ISBLANK(W314)),"",IF(SUM(V314,W314)=0,"",CONCATENATE(V314,"-",W314)))</f>
        <v/>
      </c>
      <c r="BR314" s="21" t="str">
        <f>IF(OR(AND(OR(AND(A314&gt;75,X314="Final Handicap"),AND(A314&gt;25,X314="1st half Handicap")),OR(AND(G314&gt;20,U314&lt;T314,E314&gt;45),AND(G314&lt;-20,U314&gt;T314,E314&lt;55))),AND(AND(A314-Y314&lt;200,A314-Y314&gt;9),OR(AND(A314&gt;75,X314="Final Handicap"),AND(A314&gt;25,X314="1st half Handicap")),OR(AND(AK314&gt;20,U314&lt;T314,E314&gt;45),AND(AK314&lt;-20,U314&gt;T314,E314&lt;55))),AND(AND(A314-AL314&lt;200,A314-AL314&gt;9),OR(AND(A314&gt;75,X314="Final Handicap"),AND(A314&gt;25,X314="1st half Handicap")),OR(AND(AX314&gt;20,U314&lt;T314,E314&gt;45),AND(AX314&lt;-20,U314&gt;T314,E314&lt;55))),AND(AND(A314-AY314&lt;200,A314-AY314&gt;9),OR(AND(A314&gt;75,X314="Final Handicap"),AND(A314&gt;25,X314="1st half Handicap")),OR(AND(BK314&gt;20,U314&lt;T314,E314&gt;45),AND(BK314&lt;-20,U314&gt;T314,E314&lt;55)))),"GOOD","")</f>
        <v/>
      </c>
      <c r="BS314" s="21"/>
    </row>
    <row r="315" spans="1:71" ht="17.25" x14ac:dyDescent="0.3">
      <c r="A315" s="3"/>
      <c r="D315" s="8" t="str">
        <f>IF(ISBLANK(T315),"",CONCATENATE(T315,"-",U315))</f>
        <v/>
      </c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>
        <f>IF(NOT(ISBLANK(G315)),ABS(G315),0)</f>
        <v>0</v>
      </c>
      <c r="BM315">
        <f>IF(NOT(ISBLANK(AK315)),ABS(AK315),0)</f>
        <v>0</v>
      </c>
      <c r="BN315">
        <f>IF(NOT(ISBLANK(AX315)),ABS(AX315),0)</f>
        <v>0</v>
      </c>
      <c r="BO315">
        <f>IF(NOT(ISBLANK(BK315)),ABS(BK315),0)</f>
        <v>0</v>
      </c>
      <c r="BP315">
        <f>IF(ISBLANK(E315),0,ABS(E315-50))</f>
        <v>0</v>
      </c>
      <c r="BQ315" s="21" t="str">
        <f>IF(OR(ISBLANK(V315),ISBLANK(W315)),"",IF(SUM(V315,W315)=0,"",CONCATENATE(V315,"-",W315)))</f>
        <v/>
      </c>
      <c r="BR315" s="21" t="str">
        <f>IF(OR(AND(OR(AND(A315&gt;75,X315="Final Handicap"),AND(A315&gt;25,X315="1st half Handicap")),OR(AND(G315&gt;20,U315&lt;T315,E315&gt;45),AND(G315&lt;-20,U315&gt;T315,E315&lt;55))),AND(AND(A315-Y315&lt;200,A315-Y315&gt;9),OR(AND(A315&gt;75,X315="Final Handicap"),AND(A315&gt;25,X315="1st half Handicap")),OR(AND(AK315&gt;20,U315&lt;T315,E315&gt;45),AND(AK315&lt;-20,U315&gt;T315,E315&lt;55))),AND(AND(A315-AL315&lt;200,A315-AL315&gt;9),OR(AND(A315&gt;75,X315="Final Handicap"),AND(A315&gt;25,X315="1st half Handicap")),OR(AND(AX315&gt;20,U315&lt;T315,E315&gt;45),AND(AX315&lt;-20,U315&gt;T315,E315&lt;55))),AND(AND(A315-AY315&lt;200,A315-AY315&gt;9),OR(AND(A315&gt;75,X315="Final Handicap"),AND(A315&gt;25,X315="1st half Handicap")),OR(AND(BK315&gt;20,U315&lt;T315,E315&gt;45),AND(BK315&lt;-20,U315&gt;T315,E315&lt;55)))),"GOOD","")</f>
        <v/>
      </c>
      <c r="BS315" s="21"/>
    </row>
    <row r="316" spans="1:71" ht="17.25" x14ac:dyDescent="0.3">
      <c r="A316" s="3"/>
      <c r="D316" s="8" t="str">
        <f>IF(ISBLANK(T316),"",CONCATENATE(T316,"-",U316))</f>
        <v/>
      </c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>
        <f>IF(NOT(ISBLANK(G316)),ABS(G316),0)</f>
        <v>0</v>
      </c>
      <c r="BM316">
        <f>IF(NOT(ISBLANK(AK316)),ABS(AK316),0)</f>
        <v>0</v>
      </c>
      <c r="BN316">
        <f>IF(NOT(ISBLANK(AX316)),ABS(AX316),0)</f>
        <v>0</v>
      </c>
      <c r="BO316">
        <f>IF(NOT(ISBLANK(BK316)),ABS(BK316),0)</f>
        <v>0</v>
      </c>
      <c r="BP316">
        <f>IF(ISBLANK(E316),0,ABS(E316-50))</f>
        <v>0</v>
      </c>
      <c r="BQ316" s="21" t="str">
        <f>IF(OR(ISBLANK(V316),ISBLANK(W316)),"",IF(SUM(V316,W316)=0,"",CONCATENATE(V316,"-",W316)))</f>
        <v/>
      </c>
      <c r="BR316" s="21" t="str">
        <f>IF(OR(AND(OR(AND(A316&gt;75,X316="Final Handicap"),AND(A316&gt;25,X316="1st half Handicap")),OR(AND(G316&gt;20,U316&lt;T316,E316&gt;45),AND(G316&lt;-20,U316&gt;T316,E316&lt;55))),AND(AND(A316-Y316&lt;200,A316-Y316&gt;9),OR(AND(A316&gt;75,X316="Final Handicap"),AND(A316&gt;25,X316="1st half Handicap")),OR(AND(AK316&gt;20,U316&lt;T316,E316&gt;45),AND(AK316&lt;-20,U316&gt;T316,E316&lt;55))),AND(AND(A316-AL316&lt;200,A316-AL316&gt;9),OR(AND(A316&gt;75,X316="Final Handicap"),AND(A316&gt;25,X316="1st half Handicap")),OR(AND(AX316&gt;20,U316&lt;T316,E316&gt;45),AND(AX316&lt;-20,U316&gt;T316,E316&lt;55))),AND(AND(A316-AY316&lt;200,A316-AY316&gt;9),OR(AND(A316&gt;75,X316="Final Handicap"),AND(A316&gt;25,X316="1st half Handicap")),OR(AND(BK316&gt;20,U316&lt;T316,E316&gt;45),AND(BK316&lt;-20,U316&gt;T316,E316&lt;55)))),"GOOD","")</f>
        <v/>
      </c>
      <c r="BS316" s="21"/>
    </row>
    <row r="317" spans="1:71" ht="17.25" x14ac:dyDescent="0.3">
      <c r="A317" s="3"/>
      <c r="D317" s="8" t="str">
        <f>IF(ISBLANK(T317),"",CONCATENATE(T317,"-",U317))</f>
        <v/>
      </c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>
        <f>IF(NOT(ISBLANK(G317)),ABS(G317),0)</f>
        <v>0</v>
      </c>
      <c r="BM317">
        <f>IF(NOT(ISBLANK(AK317)),ABS(AK317),0)</f>
        <v>0</v>
      </c>
      <c r="BN317">
        <f>IF(NOT(ISBLANK(AX317)),ABS(AX317),0)</f>
        <v>0</v>
      </c>
      <c r="BO317">
        <f>IF(NOT(ISBLANK(BK317)),ABS(BK317),0)</f>
        <v>0</v>
      </c>
      <c r="BP317">
        <f>IF(ISBLANK(E317),0,ABS(E317-50))</f>
        <v>0</v>
      </c>
      <c r="BQ317" s="21" t="str">
        <f>IF(OR(ISBLANK(V317),ISBLANK(W317)),"",IF(SUM(V317,W317)=0,"",CONCATENATE(V317,"-",W317)))</f>
        <v/>
      </c>
      <c r="BR317" s="21" t="str">
        <f>IF(OR(AND(OR(AND(A317&gt;75,X317="Final Handicap"),AND(A317&gt;25,X317="1st half Handicap")),OR(AND(G317&gt;20,U317&lt;T317,E317&gt;45),AND(G317&lt;-20,U317&gt;T317,E317&lt;55))),AND(AND(A317-Y317&lt;200,A317-Y317&gt;9),OR(AND(A317&gt;75,X317="Final Handicap"),AND(A317&gt;25,X317="1st half Handicap")),OR(AND(AK317&gt;20,U317&lt;T317,E317&gt;45),AND(AK317&lt;-20,U317&gt;T317,E317&lt;55))),AND(AND(A317-AL317&lt;200,A317-AL317&gt;9),OR(AND(A317&gt;75,X317="Final Handicap"),AND(A317&gt;25,X317="1st half Handicap")),OR(AND(AX317&gt;20,U317&lt;T317,E317&gt;45),AND(AX317&lt;-20,U317&gt;T317,E317&lt;55))),AND(AND(A317-AY317&lt;200,A317-AY317&gt;9),OR(AND(A317&gt;75,X317="Final Handicap"),AND(A317&gt;25,X317="1st half Handicap")),OR(AND(BK317&gt;20,U317&lt;T317,E317&gt;45),AND(BK317&lt;-20,U317&gt;T317,E317&lt;55)))),"GOOD","")</f>
        <v/>
      </c>
      <c r="BS317" s="21"/>
    </row>
    <row r="318" spans="1:71" ht="17.25" x14ac:dyDescent="0.3">
      <c r="A318" s="3"/>
      <c r="D318" s="8" t="str">
        <f>IF(ISBLANK(T318),"",CONCATENATE(T318,"-",U318))</f>
        <v/>
      </c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>
        <f>IF(NOT(ISBLANK(G318)),ABS(G318),0)</f>
        <v>0</v>
      </c>
      <c r="BM318">
        <f>IF(NOT(ISBLANK(AK318)),ABS(AK318),0)</f>
        <v>0</v>
      </c>
      <c r="BN318">
        <f>IF(NOT(ISBLANK(AX318)),ABS(AX318),0)</f>
        <v>0</v>
      </c>
      <c r="BO318">
        <f>IF(NOT(ISBLANK(BK318)),ABS(BK318),0)</f>
        <v>0</v>
      </c>
      <c r="BP318">
        <f>IF(ISBLANK(E318),0,ABS(E318-50))</f>
        <v>0</v>
      </c>
      <c r="BQ318" s="21" t="str">
        <f>IF(OR(ISBLANK(V318),ISBLANK(W318)),"",IF(SUM(V318,W318)=0,"",CONCATENATE(V318,"-",W318)))</f>
        <v/>
      </c>
      <c r="BR318" s="21" t="str">
        <f>IF(OR(AND(OR(AND(A318&gt;75,X318="Final Handicap"),AND(A318&gt;25,X318="1st half Handicap")),OR(AND(G318&gt;20,U318&lt;T318,E318&gt;45),AND(G318&lt;-20,U318&gt;T318,E318&lt;55))),AND(AND(A318-Y318&lt;200,A318-Y318&gt;9),OR(AND(A318&gt;75,X318="Final Handicap"),AND(A318&gt;25,X318="1st half Handicap")),OR(AND(AK318&gt;20,U318&lt;T318,E318&gt;45),AND(AK318&lt;-20,U318&gt;T318,E318&lt;55))),AND(AND(A318-AL318&lt;200,A318-AL318&gt;9),OR(AND(A318&gt;75,X318="Final Handicap"),AND(A318&gt;25,X318="1st half Handicap")),OR(AND(AX318&gt;20,U318&lt;T318,E318&gt;45),AND(AX318&lt;-20,U318&gt;T318,E318&lt;55))),AND(AND(A318-AY318&lt;200,A318-AY318&gt;9),OR(AND(A318&gt;75,X318="Final Handicap"),AND(A318&gt;25,X318="1st half Handicap")),OR(AND(BK318&gt;20,U318&lt;T318,E318&gt;45),AND(BK318&lt;-20,U318&gt;T318,E318&lt;55)))),"GOOD","")</f>
        <v/>
      </c>
      <c r="BS318" s="21"/>
    </row>
    <row r="319" spans="1:71" ht="17.25" x14ac:dyDescent="0.3">
      <c r="A319" s="3"/>
      <c r="D319" s="8" t="str">
        <f>IF(ISBLANK(T319),"",CONCATENATE(T319,"-",U319))</f>
        <v/>
      </c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>
        <f>IF(NOT(ISBLANK(G319)),ABS(G319),0)</f>
        <v>0</v>
      </c>
      <c r="BM319">
        <f>IF(NOT(ISBLANK(AK319)),ABS(AK319),0)</f>
        <v>0</v>
      </c>
      <c r="BN319">
        <f>IF(NOT(ISBLANK(AX319)),ABS(AX319),0)</f>
        <v>0</v>
      </c>
      <c r="BO319">
        <f>IF(NOT(ISBLANK(BK319)),ABS(BK319),0)</f>
        <v>0</v>
      </c>
      <c r="BP319">
        <f>IF(ISBLANK(E319),0,ABS(E319-50))</f>
        <v>0</v>
      </c>
      <c r="BQ319" s="21" t="str">
        <f>IF(OR(ISBLANK(V319),ISBLANK(W319)),"",IF(SUM(V319,W319)=0,"",CONCATENATE(V319,"-",W319)))</f>
        <v/>
      </c>
      <c r="BR319" s="21" t="str">
        <f>IF(OR(AND(OR(AND(A319&gt;75,X319="Final Handicap"),AND(A319&gt;25,X319="1st half Handicap")),OR(AND(G319&gt;20,U319&lt;T319,E319&gt;45),AND(G319&lt;-20,U319&gt;T319,E319&lt;55))),AND(AND(A319-Y319&lt;200,A319-Y319&gt;9),OR(AND(A319&gt;75,X319="Final Handicap"),AND(A319&gt;25,X319="1st half Handicap")),OR(AND(AK319&gt;20,U319&lt;T319,E319&gt;45),AND(AK319&lt;-20,U319&gt;T319,E319&lt;55))),AND(AND(A319-AL319&lt;200,A319-AL319&gt;9),OR(AND(A319&gt;75,X319="Final Handicap"),AND(A319&gt;25,X319="1st half Handicap")),OR(AND(AX319&gt;20,U319&lt;T319,E319&gt;45),AND(AX319&lt;-20,U319&gt;T319,E319&lt;55))),AND(AND(A319-AY319&lt;200,A319-AY319&gt;9),OR(AND(A319&gt;75,X319="Final Handicap"),AND(A319&gt;25,X319="1st half Handicap")),OR(AND(BK319&gt;20,U319&lt;T319,E319&gt;45),AND(BK319&lt;-20,U319&gt;T319,E319&lt;55)))),"GOOD","")</f>
        <v/>
      </c>
      <c r="BS319" s="21"/>
    </row>
    <row r="320" spans="1:71" ht="17.25" x14ac:dyDescent="0.3">
      <c r="A320" s="3"/>
      <c r="D320" s="8" t="str">
        <f>IF(ISBLANK(T320),"",CONCATENATE(T320,"-",U320))</f>
        <v/>
      </c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>
        <f>IF(NOT(ISBLANK(G320)),ABS(G320),0)</f>
        <v>0</v>
      </c>
      <c r="BM320">
        <f>IF(NOT(ISBLANK(AK320)),ABS(AK320),0)</f>
        <v>0</v>
      </c>
      <c r="BN320">
        <f>IF(NOT(ISBLANK(AX320)),ABS(AX320),0)</f>
        <v>0</v>
      </c>
      <c r="BO320">
        <f>IF(NOT(ISBLANK(BK320)),ABS(BK320),0)</f>
        <v>0</v>
      </c>
      <c r="BP320">
        <f>IF(ISBLANK(E320),0,ABS(E320-50))</f>
        <v>0</v>
      </c>
      <c r="BQ320" s="21" t="str">
        <f>IF(OR(ISBLANK(V320),ISBLANK(W320)),"",IF(SUM(V320,W320)=0,"",CONCATENATE(V320,"-",W320)))</f>
        <v/>
      </c>
      <c r="BR320" s="21" t="str">
        <f>IF(OR(AND(OR(AND(A320&gt;75,X320="Final Handicap"),AND(A320&gt;25,X320="1st half Handicap")),OR(AND(G320&gt;20,U320&lt;T320,E320&gt;45),AND(G320&lt;-20,U320&gt;T320,E320&lt;55))),AND(AND(A320-Y320&lt;200,A320-Y320&gt;9),OR(AND(A320&gt;75,X320="Final Handicap"),AND(A320&gt;25,X320="1st half Handicap")),OR(AND(AK320&gt;20,U320&lt;T320,E320&gt;45),AND(AK320&lt;-20,U320&gt;T320,E320&lt;55))),AND(AND(A320-AL320&lt;200,A320-AL320&gt;9),OR(AND(A320&gt;75,X320="Final Handicap"),AND(A320&gt;25,X320="1st half Handicap")),OR(AND(AX320&gt;20,U320&lt;T320,E320&gt;45),AND(AX320&lt;-20,U320&gt;T320,E320&lt;55))),AND(AND(A320-AY320&lt;200,A320-AY320&gt;9),OR(AND(A320&gt;75,X320="Final Handicap"),AND(A320&gt;25,X320="1st half Handicap")),OR(AND(BK320&gt;20,U320&lt;T320,E320&gt;45),AND(BK320&lt;-20,U320&gt;T320,E320&lt;55)))),"GOOD","")</f>
        <v/>
      </c>
      <c r="BS320" s="21"/>
    </row>
    <row r="321" spans="1:71" ht="17.25" x14ac:dyDescent="0.3">
      <c r="A321" s="3"/>
      <c r="D321" s="8" t="str">
        <f>IF(ISBLANK(T321),"",CONCATENATE(T321,"-",U321))</f>
        <v/>
      </c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>
        <f>IF(NOT(ISBLANK(G321)),ABS(G321),0)</f>
        <v>0</v>
      </c>
      <c r="BM321">
        <f>IF(NOT(ISBLANK(AK321)),ABS(AK321),0)</f>
        <v>0</v>
      </c>
      <c r="BN321">
        <f>IF(NOT(ISBLANK(AX321)),ABS(AX321),0)</f>
        <v>0</v>
      </c>
      <c r="BO321">
        <f>IF(NOT(ISBLANK(BK321)),ABS(BK321),0)</f>
        <v>0</v>
      </c>
      <c r="BP321">
        <f>IF(ISBLANK(E321),0,ABS(E321-50))</f>
        <v>0</v>
      </c>
      <c r="BQ321" s="21" t="str">
        <f>IF(OR(ISBLANK(V321),ISBLANK(W321)),"",IF(SUM(V321,W321)=0,"",CONCATENATE(V321,"-",W321)))</f>
        <v/>
      </c>
      <c r="BR321" s="21" t="str">
        <f>IF(OR(AND(OR(AND(A321&gt;75,X321="Final Handicap"),AND(A321&gt;25,X321="1st half Handicap")),OR(AND(G321&gt;20,U321&lt;T321,E321&gt;45),AND(G321&lt;-20,U321&gt;T321,E321&lt;55))),AND(AND(A321-Y321&lt;200,A321-Y321&gt;9),OR(AND(A321&gt;75,X321="Final Handicap"),AND(A321&gt;25,X321="1st half Handicap")),OR(AND(AK321&gt;20,U321&lt;T321,E321&gt;45),AND(AK321&lt;-20,U321&gt;T321,E321&lt;55))),AND(AND(A321-AL321&lt;200,A321-AL321&gt;9),OR(AND(A321&gt;75,X321="Final Handicap"),AND(A321&gt;25,X321="1st half Handicap")),OR(AND(AX321&gt;20,U321&lt;T321,E321&gt;45),AND(AX321&lt;-20,U321&gt;T321,E321&lt;55))),AND(AND(A321-AY321&lt;200,A321-AY321&gt;9),OR(AND(A321&gt;75,X321="Final Handicap"),AND(A321&gt;25,X321="1st half Handicap")),OR(AND(BK321&gt;20,U321&lt;T321,E321&gt;45),AND(BK321&lt;-20,U321&gt;T321,E321&lt;55)))),"GOOD","")</f>
        <v/>
      </c>
      <c r="BS321" s="21"/>
    </row>
    <row r="322" spans="1:71" ht="17.25" x14ac:dyDescent="0.3">
      <c r="A322" s="3"/>
      <c r="D322" s="8" t="str">
        <f>IF(ISBLANK(T322),"",CONCATENATE(T322,"-",U322))</f>
        <v/>
      </c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>
        <f>IF(NOT(ISBLANK(G322)),ABS(G322),0)</f>
        <v>0</v>
      </c>
      <c r="BM322">
        <f>IF(NOT(ISBLANK(AK322)),ABS(AK322),0)</f>
        <v>0</v>
      </c>
      <c r="BN322">
        <f>IF(NOT(ISBLANK(AX322)),ABS(AX322),0)</f>
        <v>0</v>
      </c>
      <c r="BO322">
        <f>IF(NOT(ISBLANK(BK322)),ABS(BK322),0)</f>
        <v>0</v>
      </c>
      <c r="BP322">
        <f>IF(ISBLANK(E322),0,ABS(E322-50))</f>
        <v>0</v>
      </c>
      <c r="BQ322" s="21" t="str">
        <f>IF(OR(ISBLANK(V322),ISBLANK(W322)),"",IF(SUM(V322,W322)=0,"",CONCATENATE(V322,"-",W322)))</f>
        <v/>
      </c>
      <c r="BR322" s="21" t="str">
        <f>IF(OR(AND(OR(AND(A322&gt;75,X322="Final Handicap"),AND(A322&gt;25,X322="1st half Handicap")),OR(AND(G322&gt;20,U322&lt;T322,E322&gt;45),AND(G322&lt;-20,U322&gt;T322,E322&lt;55))),AND(AND(A322-Y322&lt;200,A322-Y322&gt;9),OR(AND(A322&gt;75,X322="Final Handicap"),AND(A322&gt;25,X322="1st half Handicap")),OR(AND(AK322&gt;20,U322&lt;T322,E322&gt;45),AND(AK322&lt;-20,U322&gt;T322,E322&lt;55))),AND(AND(A322-AL322&lt;200,A322-AL322&gt;9),OR(AND(A322&gt;75,X322="Final Handicap"),AND(A322&gt;25,X322="1st half Handicap")),OR(AND(AX322&gt;20,U322&lt;T322,E322&gt;45),AND(AX322&lt;-20,U322&gt;T322,E322&lt;55))),AND(AND(A322-AY322&lt;200,A322-AY322&gt;9),OR(AND(A322&gt;75,X322="Final Handicap"),AND(A322&gt;25,X322="1st half Handicap")),OR(AND(BK322&gt;20,U322&lt;T322,E322&gt;45),AND(BK322&lt;-20,U322&gt;T322,E322&lt;55)))),"GOOD","")</f>
        <v/>
      </c>
      <c r="BS322" s="21"/>
    </row>
    <row r="323" spans="1:71" ht="17.25" x14ac:dyDescent="0.3">
      <c r="A323" s="3"/>
      <c r="D323" s="8" t="str">
        <f>IF(ISBLANK(T323),"",CONCATENATE(T323,"-",U323))</f>
        <v/>
      </c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>
        <f>IF(NOT(ISBLANK(G323)),ABS(G323),0)</f>
        <v>0</v>
      </c>
      <c r="BM323">
        <f>IF(NOT(ISBLANK(AK323)),ABS(AK323),0)</f>
        <v>0</v>
      </c>
      <c r="BN323">
        <f>IF(NOT(ISBLANK(AX323)),ABS(AX323),0)</f>
        <v>0</v>
      </c>
      <c r="BO323">
        <f>IF(NOT(ISBLANK(BK323)),ABS(BK323),0)</f>
        <v>0</v>
      </c>
      <c r="BP323">
        <f>IF(ISBLANK(E323),0,ABS(E323-50))</f>
        <v>0</v>
      </c>
      <c r="BQ323" s="21" t="str">
        <f>IF(OR(ISBLANK(V323),ISBLANK(W323)),"",IF(SUM(V323,W323)=0,"",CONCATENATE(V323,"-",W323)))</f>
        <v/>
      </c>
      <c r="BR323" s="21" t="str">
        <f>IF(OR(AND(OR(AND(A323&gt;75,X323="Final Handicap"),AND(A323&gt;25,X323="1st half Handicap")),OR(AND(G323&gt;20,U323&lt;T323,E323&gt;45),AND(G323&lt;-20,U323&gt;T323,E323&lt;55))),AND(AND(A323-Y323&lt;200,A323-Y323&gt;9),OR(AND(A323&gt;75,X323="Final Handicap"),AND(A323&gt;25,X323="1st half Handicap")),OR(AND(AK323&gt;20,U323&lt;T323,E323&gt;45),AND(AK323&lt;-20,U323&gt;T323,E323&lt;55))),AND(AND(A323-AL323&lt;200,A323-AL323&gt;9),OR(AND(A323&gt;75,X323="Final Handicap"),AND(A323&gt;25,X323="1st half Handicap")),OR(AND(AX323&gt;20,U323&lt;T323,E323&gt;45),AND(AX323&lt;-20,U323&gt;T323,E323&lt;55))),AND(AND(A323-AY323&lt;200,A323-AY323&gt;9),OR(AND(A323&gt;75,X323="Final Handicap"),AND(A323&gt;25,X323="1st half Handicap")),OR(AND(BK323&gt;20,U323&lt;T323,E323&gt;45),AND(BK323&lt;-20,U323&gt;T323,E323&lt;55)))),"GOOD","")</f>
        <v/>
      </c>
      <c r="BS323" s="21"/>
    </row>
    <row r="324" spans="1:71" ht="17.25" x14ac:dyDescent="0.3">
      <c r="A324" s="3"/>
      <c r="D324" s="8" t="str">
        <f>IF(ISBLANK(T324),"",CONCATENATE(T324,"-",U324))</f>
        <v/>
      </c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>
        <f>IF(NOT(ISBLANK(G324)),ABS(G324),0)</f>
        <v>0</v>
      </c>
      <c r="BM324">
        <f>IF(NOT(ISBLANK(AK324)),ABS(AK324),0)</f>
        <v>0</v>
      </c>
      <c r="BN324">
        <f>IF(NOT(ISBLANK(AX324)),ABS(AX324),0)</f>
        <v>0</v>
      </c>
      <c r="BO324">
        <f>IF(NOT(ISBLANK(BK324)),ABS(BK324),0)</f>
        <v>0</v>
      </c>
      <c r="BP324">
        <f>IF(ISBLANK(E324),0,ABS(E324-50))</f>
        <v>0</v>
      </c>
      <c r="BQ324" s="21" t="str">
        <f>IF(OR(ISBLANK(V324),ISBLANK(W324)),"",IF(SUM(V324,W324)=0,"",CONCATENATE(V324,"-",W324)))</f>
        <v/>
      </c>
      <c r="BR324" s="21" t="str">
        <f>IF(OR(AND(OR(AND(A324&gt;75,X324="Final Handicap"),AND(A324&gt;25,X324="1st half Handicap")),OR(AND(G324&gt;20,U324&lt;T324,E324&gt;45),AND(G324&lt;-20,U324&gt;T324,E324&lt;55))),AND(AND(A324-Y324&lt;200,A324-Y324&gt;9),OR(AND(A324&gt;75,X324="Final Handicap"),AND(A324&gt;25,X324="1st half Handicap")),OR(AND(AK324&gt;20,U324&lt;T324,E324&gt;45),AND(AK324&lt;-20,U324&gt;T324,E324&lt;55))),AND(AND(A324-AL324&lt;200,A324-AL324&gt;9),OR(AND(A324&gt;75,X324="Final Handicap"),AND(A324&gt;25,X324="1st half Handicap")),OR(AND(AX324&gt;20,U324&lt;T324,E324&gt;45),AND(AX324&lt;-20,U324&gt;T324,E324&lt;55))),AND(AND(A324-AY324&lt;200,A324-AY324&gt;9),OR(AND(A324&gt;75,X324="Final Handicap"),AND(A324&gt;25,X324="1st half Handicap")),OR(AND(BK324&gt;20,U324&lt;T324,E324&gt;45),AND(BK324&lt;-20,U324&gt;T324,E324&lt;55)))),"GOOD","")</f>
        <v/>
      </c>
      <c r="BS324" s="21"/>
    </row>
    <row r="325" spans="1:71" ht="17.25" x14ac:dyDescent="0.3">
      <c r="A325" s="3"/>
      <c r="D325" s="8" t="str">
        <f>IF(ISBLANK(T325),"",CONCATENATE(T325,"-",U325))</f>
        <v/>
      </c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>
        <f>IF(NOT(ISBLANK(G325)),ABS(G325),0)</f>
        <v>0</v>
      </c>
      <c r="BM325">
        <f>IF(NOT(ISBLANK(AK325)),ABS(AK325),0)</f>
        <v>0</v>
      </c>
      <c r="BN325">
        <f>IF(NOT(ISBLANK(AX325)),ABS(AX325),0)</f>
        <v>0</v>
      </c>
      <c r="BO325">
        <f>IF(NOT(ISBLANK(BK325)),ABS(BK325),0)</f>
        <v>0</v>
      </c>
      <c r="BP325">
        <f>IF(ISBLANK(E325),0,ABS(E325-50))</f>
        <v>0</v>
      </c>
      <c r="BQ325" s="21" t="str">
        <f>IF(OR(ISBLANK(V325),ISBLANK(W325)),"",IF(SUM(V325,W325)=0,"",CONCATENATE(V325,"-",W325)))</f>
        <v/>
      </c>
      <c r="BR325" s="21" t="str">
        <f>IF(OR(AND(OR(AND(A325&gt;75,X325="Final Handicap"),AND(A325&gt;25,X325="1st half Handicap")),OR(AND(G325&gt;20,U325&lt;T325,E325&gt;45),AND(G325&lt;-20,U325&gt;T325,E325&lt;55))),AND(AND(A325-Y325&lt;200,A325-Y325&gt;9),OR(AND(A325&gt;75,X325="Final Handicap"),AND(A325&gt;25,X325="1st half Handicap")),OR(AND(AK325&gt;20,U325&lt;T325,E325&gt;45),AND(AK325&lt;-20,U325&gt;T325,E325&lt;55))),AND(AND(A325-AL325&lt;200,A325-AL325&gt;9),OR(AND(A325&gt;75,X325="Final Handicap"),AND(A325&gt;25,X325="1st half Handicap")),OR(AND(AX325&gt;20,U325&lt;T325,E325&gt;45),AND(AX325&lt;-20,U325&gt;T325,E325&lt;55))),AND(AND(A325-AY325&lt;200,A325-AY325&gt;9),OR(AND(A325&gt;75,X325="Final Handicap"),AND(A325&gt;25,X325="1st half Handicap")),OR(AND(BK325&gt;20,U325&lt;T325,E325&gt;45),AND(BK325&lt;-20,U325&gt;T325,E325&lt;55)))),"GOOD","")</f>
        <v/>
      </c>
      <c r="BS325" s="21"/>
    </row>
    <row r="326" spans="1:71" ht="17.25" x14ac:dyDescent="0.3">
      <c r="A326" s="3"/>
      <c r="D326" s="8" t="str">
        <f>IF(ISBLANK(T326),"",CONCATENATE(T326,"-",U326))</f>
        <v/>
      </c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>
        <f>IF(NOT(ISBLANK(G326)),ABS(G326),0)</f>
        <v>0</v>
      </c>
      <c r="BM326">
        <f>IF(NOT(ISBLANK(AK326)),ABS(AK326),0)</f>
        <v>0</v>
      </c>
      <c r="BN326">
        <f>IF(NOT(ISBLANK(AX326)),ABS(AX326),0)</f>
        <v>0</v>
      </c>
      <c r="BO326">
        <f>IF(NOT(ISBLANK(BK326)),ABS(BK326),0)</f>
        <v>0</v>
      </c>
      <c r="BP326">
        <f>IF(ISBLANK(E326),0,ABS(E326-50))</f>
        <v>0</v>
      </c>
      <c r="BQ326" s="21" t="str">
        <f>IF(OR(ISBLANK(V326),ISBLANK(W326)),"",IF(SUM(V326,W326)=0,"",CONCATENATE(V326,"-",W326)))</f>
        <v/>
      </c>
      <c r="BR326" s="21" t="str">
        <f>IF(OR(AND(OR(AND(A326&gt;75,X326="Final Handicap"),AND(A326&gt;25,X326="1st half Handicap")),OR(AND(G326&gt;20,U326&lt;T326,E326&gt;45),AND(G326&lt;-20,U326&gt;T326,E326&lt;55))),AND(AND(A326-Y326&lt;200,A326-Y326&gt;9),OR(AND(A326&gt;75,X326="Final Handicap"),AND(A326&gt;25,X326="1st half Handicap")),OR(AND(AK326&gt;20,U326&lt;T326,E326&gt;45),AND(AK326&lt;-20,U326&gt;T326,E326&lt;55))),AND(AND(A326-AL326&lt;200,A326-AL326&gt;9),OR(AND(A326&gt;75,X326="Final Handicap"),AND(A326&gt;25,X326="1st half Handicap")),OR(AND(AX326&gt;20,U326&lt;T326,E326&gt;45),AND(AX326&lt;-20,U326&gt;T326,E326&lt;55))),AND(AND(A326-AY326&lt;200,A326-AY326&gt;9),OR(AND(A326&gt;75,X326="Final Handicap"),AND(A326&gt;25,X326="1st half Handicap")),OR(AND(BK326&gt;20,U326&lt;T326,E326&gt;45),AND(BK326&lt;-20,U326&gt;T326,E326&lt;55)))),"GOOD","")</f>
        <v/>
      </c>
      <c r="BS326" s="21"/>
    </row>
    <row r="327" spans="1:71" ht="17.25" x14ac:dyDescent="0.3">
      <c r="A327" s="3"/>
      <c r="D327" s="8" t="str">
        <f>IF(ISBLANK(T327),"",CONCATENATE(T327,"-",U327))</f>
        <v/>
      </c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>
        <f>IF(NOT(ISBLANK(G327)),ABS(G327),0)</f>
        <v>0</v>
      </c>
      <c r="BM327">
        <f>IF(NOT(ISBLANK(AK327)),ABS(AK327),0)</f>
        <v>0</v>
      </c>
      <c r="BN327">
        <f>IF(NOT(ISBLANK(AX327)),ABS(AX327),0)</f>
        <v>0</v>
      </c>
      <c r="BO327">
        <f>IF(NOT(ISBLANK(BK327)),ABS(BK327),0)</f>
        <v>0</v>
      </c>
      <c r="BP327">
        <f>IF(ISBLANK(E327),0,ABS(E327-50))</f>
        <v>0</v>
      </c>
      <c r="BQ327" s="21" t="str">
        <f>IF(OR(ISBLANK(V327),ISBLANK(W327)),"",IF(SUM(V327,W327)=0,"",CONCATENATE(V327,"-",W327)))</f>
        <v/>
      </c>
      <c r="BR327" s="21" t="str">
        <f>IF(OR(AND(OR(AND(A327&gt;75,X327="Final Handicap"),AND(A327&gt;25,X327="1st half Handicap")),OR(AND(G327&gt;20,U327&lt;T327,E327&gt;45),AND(G327&lt;-20,U327&gt;T327,E327&lt;55))),AND(AND(A327-Y327&lt;200,A327-Y327&gt;9),OR(AND(A327&gt;75,X327="Final Handicap"),AND(A327&gt;25,X327="1st half Handicap")),OR(AND(AK327&gt;20,U327&lt;T327,E327&gt;45),AND(AK327&lt;-20,U327&gt;T327,E327&lt;55))),AND(AND(A327-AL327&lt;200,A327-AL327&gt;9),OR(AND(A327&gt;75,X327="Final Handicap"),AND(A327&gt;25,X327="1st half Handicap")),OR(AND(AX327&gt;20,U327&lt;T327,E327&gt;45),AND(AX327&lt;-20,U327&gt;T327,E327&lt;55))),AND(AND(A327-AY327&lt;200,A327-AY327&gt;9),OR(AND(A327&gt;75,X327="Final Handicap"),AND(A327&gt;25,X327="1st half Handicap")),OR(AND(BK327&gt;20,U327&lt;T327,E327&gt;45),AND(BK327&lt;-20,U327&gt;T327,E327&lt;55)))),"GOOD","")</f>
        <v/>
      </c>
      <c r="BS327" s="21"/>
    </row>
    <row r="328" spans="1:71" ht="17.25" x14ac:dyDescent="0.3">
      <c r="A328" s="3"/>
      <c r="D328" s="8" t="str">
        <f>IF(ISBLANK(T328),"",CONCATENATE(T328,"-",U328))</f>
        <v/>
      </c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>
        <f>IF(NOT(ISBLANK(G328)),ABS(G328),0)</f>
        <v>0</v>
      </c>
      <c r="BM328">
        <f>IF(NOT(ISBLANK(AK328)),ABS(AK328),0)</f>
        <v>0</v>
      </c>
      <c r="BN328">
        <f>IF(NOT(ISBLANK(AX328)),ABS(AX328),0)</f>
        <v>0</v>
      </c>
      <c r="BO328">
        <f>IF(NOT(ISBLANK(BK328)),ABS(BK328),0)</f>
        <v>0</v>
      </c>
      <c r="BP328">
        <f>IF(ISBLANK(E328),0,ABS(E328-50))</f>
        <v>0</v>
      </c>
      <c r="BQ328" s="21" t="str">
        <f>IF(OR(ISBLANK(V328),ISBLANK(W328)),"",IF(SUM(V328,W328)=0,"",CONCATENATE(V328,"-",W328)))</f>
        <v/>
      </c>
      <c r="BR328" s="21" t="str">
        <f>IF(OR(AND(OR(AND(A328&gt;75,X328="Final Handicap"),AND(A328&gt;25,X328="1st half Handicap")),OR(AND(G328&gt;20,U328&lt;T328,E328&gt;45),AND(G328&lt;-20,U328&gt;T328,E328&lt;55))),AND(AND(A328-Y328&lt;200,A328-Y328&gt;9),OR(AND(A328&gt;75,X328="Final Handicap"),AND(A328&gt;25,X328="1st half Handicap")),OR(AND(AK328&gt;20,U328&lt;T328,E328&gt;45),AND(AK328&lt;-20,U328&gt;T328,E328&lt;55))),AND(AND(A328-AL328&lt;200,A328-AL328&gt;9),OR(AND(A328&gt;75,X328="Final Handicap"),AND(A328&gt;25,X328="1st half Handicap")),OR(AND(AX328&gt;20,U328&lt;T328,E328&gt;45),AND(AX328&lt;-20,U328&gt;T328,E328&lt;55))),AND(AND(A328-AY328&lt;200,A328-AY328&gt;9),OR(AND(A328&gt;75,X328="Final Handicap"),AND(A328&gt;25,X328="1st half Handicap")),OR(AND(BK328&gt;20,U328&lt;T328,E328&gt;45),AND(BK328&lt;-20,U328&gt;T328,E328&lt;55)))),"GOOD","")</f>
        <v/>
      </c>
      <c r="BS328" s="21"/>
    </row>
    <row r="329" spans="1:71" ht="17.25" x14ac:dyDescent="0.3">
      <c r="A329" s="3"/>
      <c r="D329" s="8" t="str">
        <f>IF(ISBLANK(T329),"",CONCATENATE(T329,"-",U329))</f>
        <v/>
      </c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>
        <f>IF(NOT(ISBLANK(G329)),ABS(G329),0)</f>
        <v>0</v>
      </c>
      <c r="BM329">
        <f>IF(NOT(ISBLANK(AK329)),ABS(AK329),0)</f>
        <v>0</v>
      </c>
      <c r="BN329">
        <f>IF(NOT(ISBLANK(AX329)),ABS(AX329),0)</f>
        <v>0</v>
      </c>
      <c r="BO329">
        <f>IF(NOT(ISBLANK(BK329)),ABS(BK329),0)</f>
        <v>0</v>
      </c>
      <c r="BP329">
        <f>IF(ISBLANK(E329),0,ABS(E329-50))</f>
        <v>0</v>
      </c>
      <c r="BQ329" s="21" t="str">
        <f>IF(OR(ISBLANK(V329),ISBLANK(W329)),"",IF(SUM(V329,W329)=0,"",CONCATENATE(V329,"-",W329)))</f>
        <v/>
      </c>
      <c r="BR329" s="21" t="str">
        <f>IF(OR(AND(OR(AND(A329&gt;75,X329="Final Handicap"),AND(A329&gt;25,X329="1st half Handicap")),OR(AND(G329&gt;20,U329&lt;T329,E329&gt;45),AND(G329&lt;-20,U329&gt;T329,E329&lt;55))),AND(AND(A329-Y329&lt;200,A329-Y329&gt;9),OR(AND(A329&gt;75,X329="Final Handicap"),AND(A329&gt;25,X329="1st half Handicap")),OR(AND(AK329&gt;20,U329&lt;T329,E329&gt;45),AND(AK329&lt;-20,U329&gt;T329,E329&lt;55))),AND(AND(A329-AL329&lt;200,A329-AL329&gt;9),OR(AND(A329&gt;75,X329="Final Handicap"),AND(A329&gt;25,X329="1st half Handicap")),OR(AND(AX329&gt;20,U329&lt;T329,E329&gt;45),AND(AX329&lt;-20,U329&gt;T329,E329&lt;55))),AND(AND(A329-AY329&lt;200,A329-AY329&gt;9),OR(AND(A329&gt;75,X329="Final Handicap"),AND(A329&gt;25,X329="1st half Handicap")),OR(AND(BK329&gt;20,U329&lt;T329,E329&gt;45),AND(BK329&lt;-20,U329&gt;T329,E329&lt;55)))),"GOOD","")</f>
        <v/>
      </c>
      <c r="BS329" s="21"/>
    </row>
    <row r="330" spans="1:71" ht="17.25" x14ac:dyDescent="0.3">
      <c r="A330" s="3"/>
      <c r="D330" s="8" t="str">
        <f>IF(ISBLANK(T330),"",CONCATENATE(T330,"-",U330))</f>
        <v/>
      </c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>
        <f>IF(NOT(ISBLANK(G330)),ABS(G330),0)</f>
        <v>0</v>
      </c>
      <c r="BM330">
        <f>IF(NOT(ISBLANK(AK330)),ABS(AK330),0)</f>
        <v>0</v>
      </c>
      <c r="BN330">
        <f>IF(NOT(ISBLANK(AX330)),ABS(AX330),0)</f>
        <v>0</v>
      </c>
      <c r="BO330">
        <f>IF(NOT(ISBLANK(BK330)),ABS(BK330),0)</f>
        <v>0</v>
      </c>
      <c r="BP330">
        <f>IF(ISBLANK(E330),0,ABS(E330-50))</f>
        <v>0</v>
      </c>
      <c r="BQ330" s="21" t="str">
        <f>IF(OR(ISBLANK(V330),ISBLANK(W330)),"",IF(SUM(V330,W330)=0,"",CONCATENATE(V330,"-",W330)))</f>
        <v/>
      </c>
      <c r="BR330" s="21" t="str">
        <f>IF(OR(AND(OR(AND(A330&gt;75,X330="Final Handicap"),AND(A330&gt;25,X330="1st half Handicap")),OR(AND(G330&gt;20,U330&lt;T330,E330&gt;45),AND(G330&lt;-20,U330&gt;T330,E330&lt;55))),AND(AND(A330-Y330&lt;200,A330-Y330&gt;9),OR(AND(A330&gt;75,X330="Final Handicap"),AND(A330&gt;25,X330="1st half Handicap")),OR(AND(AK330&gt;20,U330&lt;T330,E330&gt;45),AND(AK330&lt;-20,U330&gt;T330,E330&lt;55))),AND(AND(A330-AL330&lt;200,A330-AL330&gt;9),OR(AND(A330&gt;75,X330="Final Handicap"),AND(A330&gt;25,X330="1st half Handicap")),OR(AND(AX330&gt;20,U330&lt;T330,E330&gt;45),AND(AX330&lt;-20,U330&gt;T330,E330&lt;55))),AND(AND(A330-AY330&lt;200,A330-AY330&gt;9),OR(AND(A330&gt;75,X330="Final Handicap"),AND(A330&gt;25,X330="1st half Handicap")),OR(AND(BK330&gt;20,U330&lt;T330,E330&gt;45),AND(BK330&lt;-20,U330&gt;T330,E330&lt;55)))),"GOOD","")</f>
        <v/>
      </c>
      <c r="BS330" s="21"/>
    </row>
    <row r="331" spans="1:71" ht="17.25" x14ac:dyDescent="0.3">
      <c r="A331" s="3"/>
      <c r="D331" s="8" t="str">
        <f>IF(ISBLANK(T331),"",CONCATENATE(T331,"-",U331))</f>
        <v/>
      </c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>
        <f>IF(NOT(ISBLANK(G331)),ABS(G331),0)</f>
        <v>0</v>
      </c>
      <c r="BM331">
        <f>IF(NOT(ISBLANK(AK331)),ABS(AK331),0)</f>
        <v>0</v>
      </c>
      <c r="BN331">
        <f>IF(NOT(ISBLANK(AX331)),ABS(AX331),0)</f>
        <v>0</v>
      </c>
      <c r="BO331">
        <f>IF(NOT(ISBLANK(BK331)),ABS(BK331),0)</f>
        <v>0</v>
      </c>
      <c r="BP331">
        <f>IF(ISBLANK(E331),0,ABS(E331-50))</f>
        <v>0</v>
      </c>
      <c r="BQ331" s="21" t="str">
        <f>IF(OR(ISBLANK(V331),ISBLANK(W331)),"",IF(SUM(V331,W331)=0,"",CONCATENATE(V331,"-",W331)))</f>
        <v/>
      </c>
      <c r="BR331" s="21" t="str">
        <f>IF(OR(AND(OR(AND(A331&gt;75,X331="Final Handicap"),AND(A331&gt;25,X331="1st half Handicap")),OR(AND(G331&gt;20,U331&lt;T331,E331&gt;45),AND(G331&lt;-20,U331&gt;T331,E331&lt;55))),AND(AND(A331-Y331&lt;200,A331-Y331&gt;9),OR(AND(A331&gt;75,X331="Final Handicap"),AND(A331&gt;25,X331="1st half Handicap")),OR(AND(AK331&gt;20,U331&lt;T331,E331&gt;45),AND(AK331&lt;-20,U331&gt;T331,E331&lt;55))),AND(AND(A331-AL331&lt;200,A331-AL331&gt;9),OR(AND(A331&gt;75,X331="Final Handicap"),AND(A331&gt;25,X331="1st half Handicap")),OR(AND(AX331&gt;20,U331&lt;T331,E331&gt;45),AND(AX331&lt;-20,U331&gt;T331,E331&lt;55))),AND(AND(A331-AY331&lt;200,A331-AY331&gt;9),OR(AND(A331&gt;75,X331="Final Handicap"),AND(A331&gt;25,X331="1st half Handicap")),OR(AND(BK331&gt;20,U331&lt;T331,E331&gt;45),AND(BK331&lt;-20,U331&gt;T331,E331&lt;55)))),"GOOD","")</f>
        <v/>
      </c>
      <c r="BS331" s="21"/>
    </row>
    <row r="332" spans="1:71" ht="17.25" x14ac:dyDescent="0.3">
      <c r="A332" s="3"/>
      <c r="D332" s="8" t="str">
        <f>IF(ISBLANK(T332),"",CONCATENATE(T332,"-",U332))</f>
        <v/>
      </c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>
        <f>IF(NOT(ISBLANK(G332)),ABS(G332),0)</f>
        <v>0</v>
      </c>
      <c r="BM332">
        <f>IF(NOT(ISBLANK(AK332)),ABS(AK332),0)</f>
        <v>0</v>
      </c>
      <c r="BN332">
        <f>IF(NOT(ISBLANK(AX332)),ABS(AX332),0)</f>
        <v>0</v>
      </c>
      <c r="BO332">
        <f>IF(NOT(ISBLANK(BK332)),ABS(BK332),0)</f>
        <v>0</v>
      </c>
      <c r="BP332">
        <f>IF(ISBLANK(E332),0,ABS(E332-50))</f>
        <v>0</v>
      </c>
      <c r="BQ332" s="21" t="str">
        <f>IF(OR(ISBLANK(V332),ISBLANK(W332)),"",IF(SUM(V332,W332)=0,"",CONCATENATE(V332,"-",W332)))</f>
        <v/>
      </c>
      <c r="BR332" s="21" t="str">
        <f>IF(OR(AND(OR(AND(A332&gt;75,X332="Final Handicap"),AND(A332&gt;25,X332="1st half Handicap")),OR(AND(G332&gt;20,U332&lt;T332,E332&gt;45),AND(G332&lt;-20,U332&gt;T332,E332&lt;55))),AND(AND(A332-Y332&lt;200,A332-Y332&gt;9),OR(AND(A332&gt;75,X332="Final Handicap"),AND(A332&gt;25,X332="1st half Handicap")),OR(AND(AK332&gt;20,U332&lt;T332,E332&gt;45),AND(AK332&lt;-20,U332&gt;T332,E332&lt;55))),AND(AND(A332-AL332&lt;200,A332-AL332&gt;9),OR(AND(A332&gt;75,X332="Final Handicap"),AND(A332&gt;25,X332="1st half Handicap")),OR(AND(AX332&gt;20,U332&lt;T332,E332&gt;45),AND(AX332&lt;-20,U332&gt;T332,E332&lt;55))),AND(AND(A332-AY332&lt;200,A332-AY332&gt;9),OR(AND(A332&gt;75,X332="Final Handicap"),AND(A332&gt;25,X332="1st half Handicap")),OR(AND(BK332&gt;20,U332&lt;T332,E332&gt;45),AND(BK332&lt;-20,U332&gt;T332,E332&lt;55)))),"GOOD","")</f>
        <v/>
      </c>
      <c r="BS332" s="21"/>
    </row>
    <row r="333" spans="1:71" ht="17.25" x14ac:dyDescent="0.3">
      <c r="A333" s="3"/>
      <c r="D333" s="8" t="str">
        <f>IF(ISBLANK(T333),"",CONCATENATE(T333,"-",U333))</f>
        <v/>
      </c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>
        <f>IF(NOT(ISBLANK(G333)),ABS(G333),0)</f>
        <v>0</v>
      </c>
      <c r="BM333">
        <f>IF(NOT(ISBLANK(AK333)),ABS(AK333),0)</f>
        <v>0</v>
      </c>
      <c r="BN333">
        <f>IF(NOT(ISBLANK(AX333)),ABS(AX333),0)</f>
        <v>0</v>
      </c>
      <c r="BO333">
        <f>IF(NOT(ISBLANK(BK333)),ABS(BK333),0)</f>
        <v>0</v>
      </c>
      <c r="BP333">
        <f>IF(ISBLANK(E333),0,ABS(E333-50))</f>
        <v>0</v>
      </c>
      <c r="BQ333" s="21" t="str">
        <f>IF(OR(ISBLANK(V333),ISBLANK(W333)),"",IF(SUM(V333,W333)=0,"",CONCATENATE(V333,"-",W333)))</f>
        <v/>
      </c>
      <c r="BR333" s="21" t="str">
        <f>IF(OR(AND(OR(AND(A333&gt;75,X333="Final Handicap"),AND(A333&gt;25,X333="1st half Handicap")),OR(AND(G333&gt;20,U333&lt;T333,E333&gt;45),AND(G333&lt;-20,U333&gt;T333,E333&lt;55))),AND(AND(A333-Y333&lt;200,A333-Y333&gt;9),OR(AND(A333&gt;75,X333="Final Handicap"),AND(A333&gt;25,X333="1st half Handicap")),OR(AND(AK333&gt;20,U333&lt;T333,E333&gt;45),AND(AK333&lt;-20,U333&gt;T333,E333&lt;55))),AND(AND(A333-AL333&lt;200,A333-AL333&gt;9),OR(AND(A333&gt;75,X333="Final Handicap"),AND(A333&gt;25,X333="1st half Handicap")),OR(AND(AX333&gt;20,U333&lt;T333,E333&gt;45),AND(AX333&lt;-20,U333&gt;T333,E333&lt;55))),AND(AND(A333-AY333&lt;200,A333-AY333&gt;9),OR(AND(A333&gt;75,X333="Final Handicap"),AND(A333&gt;25,X333="1st half Handicap")),OR(AND(BK333&gt;20,U333&lt;T333,E333&gt;45),AND(BK333&lt;-20,U333&gt;T333,E333&lt;55)))),"GOOD","")</f>
        <v/>
      </c>
      <c r="BS333" s="21"/>
    </row>
    <row r="334" spans="1:71" ht="17.25" x14ac:dyDescent="0.3">
      <c r="A334" s="3"/>
      <c r="D334" s="8" t="str">
        <f>IF(ISBLANK(T334),"",CONCATENATE(T334,"-",U334))</f>
        <v/>
      </c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>
        <f>IF(NOT(ISBLANK(G334)),ABS(G334),0)</f>
        <v>0</v>
      </c>
      <c r="BM334">
        <f>IF(NOT(ISBLANK(AK334)),ABS(AK334),0)</f>
        <v>0</v>
      </c>
      <c r="BN334">
        <f>IF(NOT(ISBLANK(AX334)),ABS(AX334),0)</f>
        <v>0</v>
      </c>
      <c r="BO334">
        <f>IF(NOT(ISBLANK(BK334)),ABS(BK334),0)</f>
        <v>0</v>
      </c>
      <c r="BP334">
        <f>IF(ISBLANK(E334),0,ABS(E334-50))</f>
        <v>0</v>
      </c>
      <c r="BQ334" s="21" t="str">
        <f>IF(OR(ISBLANK(V334),ISBLANK(W334)),"",IF(SUM(V334,W334)=0,"",CONCATENATE(V334,"-",W334)))</f>
        <v/>
      </c>
      <c r="BR334" s="21" t="str">
        <f>IF(OR(AND(OR(AND(A334&gt;75,X334="Final Handicap"),AND(A334&gt;25,X334="1st half Handicap")),OR(AND(G334&gt;20,U334&lt;T334,E334&gt;45),AND(G334&lt;-20,U334&gt;T334,E334&lt;55))),AND(AND(A334-Y334&lt;200,A334-Y334&gt;9),OR(AND(A334&gt;75,X334="Final Handicap"),AND(A334&gt;25,X334="1st half Handicap")),OR(AND(AK334&gt;20,U334&lt;T334,E334&gt;45),AND(AK334&lt;-20,U334&gt;T334,E334&lt;55))),AND(AND(A334-AL334&lt;200,A334-AL334&gt;9),OR(AND(A334&gt;75,X334="Final Handicap"),AND(A334&gt;25,X334="1st half Handicap")),OR(AND(AX334&gt;20,U334&lt;T334,E334&gt;45),AND(AX334&lt;-20,U334&gt;T334,E334&lt;55))),AND(AND(A334-AY334&lt;200,A334-AY334&gt;9),OR(AND(A334&gt;75,X334="Final Handicap"),AND(A334&gt;25,X334="1st half Handicap")),OR(AND(BK334&gt;20,U334&lt;T334,E334&gt;45),AND(BK334&lt;-20,U334&gt;T334,E334&lt;55)))),"GOOD","")</f>
        <v/>
      </c>
      <c r="BS334" s="21"/>
    </row>
    <row r="335" spans="1:71" ht="17.25" x14ac:dyDescent="0.3">
      <c r="A335" s="3"/>
      <c r="D335" s="8" t="str">
        <f>IF(ISBLANK(T335),"",CONCATENATE(T335,"-",U335))</f>
        <v/>
      </c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>
        <f>IF(NOT(ISBLANK(G335)),ABS(G335),0)</f>
        <v>0</v>
      </c>
      <c r="BM335">
        <f>IF(NOT(ISBLANK(AK335)),ABS(AK335),0)</f>
        <v>0</v>
      </c>
      <c r="BN335">
        <f>IF(NOT(ISBLANK(AX335)),ABS(AX335),0)</f>
        <v>0</v>
      </c>
      <c r="BO335">
        <f>IF(NOT(ISBLANK(BK335)),ABS(BK335),0)</f>
        <v>0</v>
      </c>
      <c r="BP335">
        <f>IF(ISBLANK(E335),0,ABS(E335-50))</f>
        <v>0</v>
      </c>
      <c r="BQ335" s="21" t="str">
        <f>IF(OR(ISBLANK(V335),ISBLANK(W335)),"",IF(SUM(V335,W335)=0,"",CONCATENATE(V335,"-",W335)))</f>
        <v/>
      </c>
      <c r="BR335" s="21" t="str">
        <f>IF(OR(AND(OR(AND(A335&gt;75,X335="Final Handicap"),AND(A335&gt;25,X335="1st half Handicap")),OR(AND(G335&gt;20,U335&lt;T335,E335&gt;45),AND(G335&lt;-20,U335&gt;T335,E335&lt;55))),AND(AND(A335-Y335&lt;200,A335-Y335&gt;9),OR(AND(A335&gt;75,X335="Final Handicap"),AND(A335&gt;25,X335="1st half Handicap")),OR(AND(AK335&gt;20,U335&lt;T335,E335&gt;45),AND(AK335&lt;-20,U335&gt;T335,E335&lt;55))),AND(AND(A335-AL335&lt;200,A335-AL335&gt;9),OR(AND(A335&gt;75,X335="Final Handicap"),AND(A335&gt;25,X335="1st half Handicap")),OR(AND(AX335&gt;20,U335&lt;T335,E335&gt;45),AND(AX335&lt;-20,U335&gt;T335,E335&lt;55))),AND(AND(A335-AY335&lt;200,A335-AY335&gt;9),OR(AND(A335&gt;75,X335="Final Handicap"),AND(A335&gt;25,X335="1st half Handicap")),OR(AND(BK335&gt;20,U335&lt;T335,E335&gt;45),AND(BK335&lt;-20,U335&gt;T335,E335&lt;55)))),"GOOD","")</f>
        <v/>
      </c>
      <c r="BS335" s="21"/>
    </row>
    <row r="336" spans="1:71" ht="17.25" x14ac:dyDescent="0.3">
      <c r="A336" s="3"/>
      <c r="D336" s="8" t="str">
        <f>IF(ISBLANK(T336),"",CONCATENATE(T336,"-",U336))</f>
        <v/>
      </c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>
        <f>IF(NOT(ISBLANK(G336)),ABS(G336),0)</f>
        <v>0</v>
      </c>
      <c r="BM336">
        <f>IF(NOT(ISBLANK(AK336)),ABS(AK336),0)</f>
        <v>0</v>
      </c>
      <c r="BN336">
        <f>IF(NOT(ISBLANK(AX336)),ABS(AX336),0)</f>
        <v>0</v>
      </c>
      <c r="BO336">
        <f>IF(NOT(ISBLANK(BK336)),ABS(BK336),0)</f>
        <v>0</v>
      </c>
      <c r="BP336">
        <f>IF(ISBLANK(E336),0,ABS(E336-50))</f>
        <v>0</v>
      </c>
      <c r="BQ336" s="21" t="str">
        <f>IF(OR(ISBLANK(V336),ISBLANK(W336)),"",IF(SUM(V336,W336)=0,"",CONCATENATE(V336,"-",W336)))</f>
        <v/>
      </c>
      <c r="BR336" s="21" t="str">
        <f>IF(OR(AND(OR(AND(A336&gt;75,X336="Final Handicap"),AND(A336&gt;25,X336="1st half Handicap")),OR(AND(G336&gt;20,U336&lt;T336,E336&gt;45),AND(G336&lt;-20,U336&gt;T336,E336&lt;55))),AND(AND(A336-Y336&lt;200,A336-Y336&gt;9),OR(AND(A336&gt;75,X336="Final Handicap"),AND(A336&gt;25,X336="1st half Handicap")),OR(AND(AK336&gt;20,U336&lt;T336,E336&gt;45),AND(AK336&lt;-20,U336&gt;T336,E336&lt;55))),AND(AND(A336-AL336&lt;200,A336-AL336&gt;9),OR(AND(A336&gt;75,X336="Final Handicap"),AND(A336&gt;25,X336="1st half Handicap")),OR(AND(AX336&gt;20,U336&lt;T336,E336&gt;45),AND(AX336&lt;-20,U336&gt;T336,E336&lt;55))),AND(AND(A336-AY336&lt;200,A336-AY336&gt;9),OR(AND(A336&gt;75,X336="Final Handicap"),AND(A336&gt;25,X336="1st half Handicap")),OR(AND(BK336&gt;20,U336&lt;T336,E336&gt;45),AND(BK336&lt;-20,U336&gt;T336,E336&lt;55)))),"GOOD","")</f>
        <v/>
      </c>
      <c r="BS336" s="21"/>
    </row>
    <row r="337" spans="1:71" ht="17.25" x14ac:dyDescent="0.3">
      <c r="A337" s="3"/>
      <c r="D337" s="8" t="str">
        <f>IF(ISBLANK(T337),"",CONCATENATE(T337,"-",U337))</f>
        <v/>
      </c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>
        <f>IF(NOT(ISBLANK(G337)),ABS(G337),0)</f>
        <v>0</v>
      </c>
      <c r="BM337">
        <f>IF(NOT(ISBLANK(AK337)),ABS(AK337),0)</f>
        <v>0</v>
      </c>
      <c r="BN337">
        <f>IF(NOT(ISBLANK(AX337)),ABS(AX337),0)</f>
        <v>0</v>
      </c>
      <c r="BO337">
        <f>IF(NOT(ISBLANK(BK337)),ABS(BK337),0)</f>
        <v>0</v>
      </c>
      <c r="BP337">
        <f>IF(ISBLANK(E337),0,ABS(E337-50))</f>
        <v>0</v>
      </c>
      <c r="BQ337" s="21" t="str">
        <f>IF(OR(ISBLANK(V337),ISBLANK(W337)),"",IF(SUM(V337,W337)=0,"",CONCATENATE(V337,"-",W337)))</f>
        <v/>
      </c>
      <c r="BR337" s="21" t="str">
        <f>IF(OR(AND(OR(AND(A337&gt;75,X337="Final Handicap"),AND(A337&gt;25,X337="1st half Handicap")),OR(AND(G337&gt;20,U337&lt;T337,E337&gt;45),AND(G337&lt;-20,U337&gt;T337,E337&lt;55))),AND(AND(A337-Y337&lt;200,A337-Y337&gt;9),OR(AND(A337&gt;75,X337="Final Handicap"),AND(A337&gt;25,X337="1st half Handicap")),OR(AND(AK337&gt;20,U337&lt;T337,E337&gt;45),AND(AK337&lt;-20,U337&gt;T337,E337&lt;55))),AND(AND(A337-AL337&lt;200,A337-AL337&gt;9),OR(AND(A337&gt;75,X337="Final Handicap"),AND(A337&gt;25,X337="1st half Handicap")),OR(AND(AX337&gt;20,U337&lt;T337,E337&gt;45),AND(AX337&lt;-20,U337&gt;T337,E337&lt;55))),AND(AND(A337-AY337&lt;200,A337-AY337&gt;9),OR(AND(A337&gt;75,X337="Final Handicap"),AND(A337&gt;25,X337="1st half Handicap")),OR(AND(BK337&gt;20,U337&lt;T337,E337&gt;45),AND(BK337&lt;-20,U337&gt;T337,E337&lt;55)))),"GOOD","")</f>
        <v/>
      </c>
      <c r="BS337" s="21"/>
    </row>
    <row r="338" spans="1:71" ht="17.25" x14ac:dyDescent="0.3">
      <c r="A338" s="3"/>
      <c r="D338" s="8" t="str">
        <f>IF(ISBLANK(T338),"",CONCATENATE(T338,"-",U338))</f>
        <v/>
      </c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>
        <f>IF(NOT(ISBLANK(G338)),ABS(G338),0)</f>
        <v>0</v>
      </c>
      <c r="BM338">
        <f>IF(NOT(ISBLANK(AK338)),ABS(AK338),0)</f>
        <v>0</v>
      </c>
      <c r="BN338">
        <f>IF(NOT(ISBLANK(AX338)),ABS(AX338),0)</f>
        <v>0</v>
      </c>
      <c r="BO338">
        <f>IF(NOT(ISBLANK(BK338)),ABS(BK338),0)</f>
        <v>0</v>
      </c>
      <c r="BP338">
        <f>IF(ISBLANK(E338),0,ABS(E338-50))</f>
        <v>0</v>
      </c>
      <c r="BQ338" s="21" t="str">
        <f>IF(OR(ISBLANK(V338),ISBLANK(W338)),"",IF(SUM(V338,W338)=0,"",CONCATENATE(V338,"-",W338)))</f>
        <v/>
      </c>
      <c r="BR338" s="21" t="str">
        <f>IF(OR(AND(OR(AND(A338&gt;75,X338="Final Handicap"),AND(A338&gt;25,X338="1st half Handicap")),OR(AND(G338&gt;20,U338&lt;T338,E338&gt;45),AND(G338&lt;-20,U338&gt;T338,E338&lt;55))),AND(AND(A338-Y338&lt;200,A338-Y338&gt;9),OR(AND(A338&gt;75,X338="Final Handicap"),AND(A338&gt;25,X338="1st half Handicap")),OR(AND(AK338&gt;20,U338&lt;T338,E338&gt;45),AND(AK338&lt;-20,U338&gt;T338,E338&lt;55))),AND(AND(A338-AL338&lt;200,A338-AL338&gt;9),OR(AND(A338&gt;75,X338="Final Handicap"),AND(A338&gt;25,X338="1st half Handicap")),OR(AND(AX338&gt;20,U338&lt;T338,E338&gt;45),AND(AX338&lt;-20,U338&gt;T338,E338&lt;55))),AND(AND(A338-AY338&lt;200,A338-AY338&gt;9),OR(AND(A338&gt;75,X338="Final Handicap"),AND(A338&gt;25,X338="1st half Handicap")),OR(AND(BK338&gt;20,U338&lt;T338,E338&gt;45),AND(BK338&lt;-20,U338&gt;T338,E338&lt;55)))),"GOOD","")</f>
        <v/>
      </c>
      <c r="BS338" s="21"/>
    </row>
    <row r="339" spans="1:71" ht="17.25" x14ac:dyDescent="0.3">
      <c r="A339" s="3"/>
      <c r="D339" s="8" t="str">
        <f>IF(ISBLANK(T339),"",CONCATENATE(T339,"-",U339))</f>
        <v/>
      </c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>
        <f>IF(NOT(ISBLANK(G339)),ABS(G339),0)</f>
        <v>0</v>
      </c>
      <c r="BM339">
        <f>IF(NOT(ISBLANK(AK339)),ABS(AK339),0)</f>
        <v>0</v>
      </c>
      <c r="BN339">
        <f>IF(NOT(ISBLANK(AX339)),ABS(AX339),0)</f>
        <v>0</v>
      </c>
      <c r="BO339">
        <f>IF(NOT(ISBLANK(BK339)),ABS(BK339),0)</f>
        <v>0</v>
      </c>
      <c r="BP339">
        <f>IF(ISBLANK(E339),0,ABS(E339-50))</f>
        <v>0</v>
      </c>
      <c r="BQ339" s="21" t="str">
        <f>IF(OR(ISBLANK(V339),ISBLANK(W339)),"",IF(SUM(V339,W339)=0,"",CONCATENATE(V339,"-",W339)))</f>
        <v/>
      </c>
      <c r="BR339" s="21" t="str">
        <f>IF(OR(AND(OR(AND(A339&gt;75,X339="Final Handicap"),AND(A339&gt;25,X339="1st half Handicap")),OR(AND(G339&gt;20,U339&lt;T339,E339&gt;45),AND(G339&lt;-20,U339&gt;T339,E339&lt;55))),AND(AND(A339-Y339&lt;200,A339-Y339&gt;9),OR(AND(A339&gt;75,X339="Final Handicap"),AND(A339&gt;25,X339="1st half Handicap")),OR(AND(AK339&gt;20,U339&lt;T339,E339&gt;45),AND(AK339&lt;-20,U339&gt;T339,E339&lt;55))),AND(AND(A339-AL339&lt;200,A339-AL339&gt;9),OR(AND(A339&gt;75,X339="Final Handicap"),AND(A339&gt;25,X339="1st half Handicap")),OR(AND(AX339&gt;20,U339&lt;T339,E339&gt;45),AND(AX339&lt;-20,U339&gt;T339,E339&lt;55))),AND(AND(A339-AY339&lt;200,A339-AY339&gt;9),OR(AND(A339&gt;75,X339="Final Handicap"),AND(A339&gt;25,X339="1st half Handicap")),OR(AND(BK339&gt;20,U339&lt;T339,E339&gt;45),AND(BK339&lt;-20,U339&gt;T339,E339&lt;55)))),"GOOD","")</f>
        <v/>
      </c>
      <c r="BS339" s="21"/>
    </row>
    <row r="340" spans="1:71" ht="17.25" x14ac:dyDescent="0.3">
      <c r="A340" s="3"/>
      <c r="D340" s="8" t="str">
        <f>IF(ISBLANK(T340),"",CONCATENATE(T340,"-",U340))</f>
        <v/>
      </c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>
        <f>IF(NOT(ISBLANK(G340)),ABS(G340),0)</f>
        <v>0</v>
      </c>
      <c r="BM340">
        <f>IF(NOT(ISBLANK(AK340)),ABS(AK340),0)</f>
        <v>0</v>
      </c>
      <c r="BN340">
        <f>IF(NOT(ISBLANK(AX340)),ABS(AX340),0)</f>
        <v>0</v>
      </c>
      <c r="BO340">
        <f>IF(NOT(ISBLANK(BK340)),ABS(BK340),0)</f>
        <v>0</v>
      </c>
      <c r="BP340">
        <f>IF(ISBLANK(E340),0,ABS(E340-50))</f>
        <v>0</v>
      </c>
      <c r="BQ340" s="21" t="str">
        <f>IF(OR(ISBLANK(V340),ISBLANK(W340)),"",IF(SUM(V340,W340)=0,"",CONCATENATE(V340,"-",W340)))</f>
        <v/>
      </c>
      <c r="BR340" s="21" t="str">
        <f>IF(OR(AND(OR(AND(A340&gt;75,X340="Final Handicap"),AND(A340&gt;25,X340="1st half Handicap")),OR(AND(G340&gt;20,U340&lt;T340,E340&gt;45),AND(G340&lt;-20,U340&gt;T340,E340&lt;55))),AND(AND(A340-Y340&lt;200,A340-Y340&gt;9),OR(AND(A340&gt;75,X340="Final Handicap"),AND(A340&gt;25,X340="1st half Handicap")),OR(AND(AK340&gt;20,U340&lt;T340,E340&gt;45),AND(AK340&lt;-20,U340&gt;T340,E340&lt;55))),AND(AND(A340-AL340&lt;200,A340-AL340&gt;9),OR(AND(A340&gt;75,X340="Final Handicap"),AND(A340&gt;25,X340="1st half Handicap")),OR(AND(AX340&gt;20,U340&lt;T340,E340&gt;45),AND(AX340&lt;-20,U340&gt;T340,E340&lt;55))),AND(AND(A340-AY340&lt;200,A340-AY340&gt;9),OR(AND(A340&gt;75,X340="Final Handicap"),AND(A340&gt;25,X340="1st half Handicap")),OR(AND(BK340&gt;20,U340&lt;T340,E340&gt;45),AND(BK340&lt;-20,U340&gt;T340,E340&lt;55)))),"GOOD","")</f>
        <v/>
      </c>
      <c r="BS340" s="21"/>
    </row>
    <row r="341" spans="1:71" ht="17.25" x14ac:dyDescent="0.3">
      <c r="A341" s="3"/>
      <c r="D341" s="8" t="str">
        <f>IF(ISBLANK(T341),"",CONCATENATE(T341,"-",U341))</f>
        <v/>
      </c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>
        <f>IF(NOT(ISBLANK(G341)),ABS(G341),0)</f>
        <v>0</v>
      </c>
      <c r="BM341">
        <f>IF(NOT(ISBLANK(AK341)),ABS(AK341),0)</f>
        <v>0</v>
      </c>
      <c r="BN341">
        <f>IF(NOT(ISBLANK(AX341)),ABS(AX341),0)</f>
        <v>0</v>
      </c>
      <c r="BO341">
        <f>IF(NOT(ISBLANK(BK341)),ABS(BK341),0)</f>
        <v>0</v>
      </c>
      <c r="BP341">
        <f>IF(ISBLANK(E341),0,ABS(E341-50))</f>
        <v>0</v>
      </c>
      <c r="BQ341" s="21" t="str">
        <f>IF(OR(ISBLANK(V341),ISBLANK(W341)),"",IF(SUM(V341,W341)=0,"",CONCATENATE(V341,"-",W341)))</f>
        <v/>
      </c>
      <c r="BR341" s="21" t="str">
        <f>IF(OR(AND(OR(AND(A341&gt;75,X341="Final Handicap"),AND(A341&gt;25,X341="1st half Handicap")),OR(AND(G341&gt;20,U341&lt;T341,E341&gt;45),AND(G341&lt;-20,U341&gt;T341,E341&lt;55))),AND(AND(A341-Y341&lt;200,A341-Y341&gt;9),OR(AND(A341&gt;75,X341="Final Handicap"),AND(A341&gt;25,X341="1st half Handicap")),OR(AND(AK341&gt;20,U341&lt;T341,E341&gt;45),AND(AK341&lt;-20,U341&gt;T341,E341&lt;55))),AND(AND(A341-AL341&lt;200,A341-AL341&gt;9),OR(AND(A341&gt;75,X341="Final Handicap"),AND(A341&gt;25,X341="1st half Handicap")),OR(AND(AX341&gt;20,U341&lt;T341,E341&gt;45),AND(AX341&lt;-20,U341&gt;T341,E341&lt;55))),AND(AND(A341-AY341&lt;200,A341-AY341&gt;9),OR(AND(A341&gt;75,X341="Final Handicap"),AND(A341&gt;25,X341="1st half Handicap")),OR(AND(BK341&gt;20,U341&lt;T341,E341&gt;45),AND(BK341&lt;-20,U341&gt;T341,E341&lt;55)))),"GOOD","")</f>
        <v/>
      </c>
      <c r="BS341" s="21"/>
    </row>
    <row r="342" spans="1:71" ht="17.25" x14ac:dyDescent="0.3">
      <c r="A342" s="3"/>
      <c r="D342" s="8" t="str">
        <f>IF(ISBLANK(T342),"",CONCATENATE(T342,"-",U342))</f>
        <v/>
      </c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>
        <f>IF(NOT(ISBLANK(G342)),ABS(G342),0)</f>
        <v>0</v>
      </c>
      <c r="BM342">
        <f>IF(NOT(ISBLANK(AK342)),ABS(AK342),0)</f>
        <v>0</v>
      </c>
      <c r="BN342">
        <f>IF(NOT(ISBLANK(AX342)),ABS(AX342),0)</f>
        <v>0</v>
      </c>
      <c r="BO342">
        <f>IF(NOT(ISBLANK(BK342)),ABS(BK342),0)</f>
        <v>0</v>
      </c>
      <c r="BP342">
        <f>IF(ISBLANK(E342),0,ABS(E342-50))</f>
        <v>0</v>
      </c>
      <c r="BQ342" s="21" t="str">
        <f>IF(OR(ISBLANK(V342),ISBLANK(W342)),"",IF(SUM(V342,W342)=0,"",CONCATENATE(V342,"-",W342)))</f>
        <v/>
      </c>
      <c r="BR342" s="21" t="str">
        <f>IF(OR(AND(OR(AND(A342&gt;75,X342="Final Handicap"),AND(A342&gt;25,X342="1st half Handicap")),OR(AND(G342&gt;20,U342&lt;T342,E342&gt;45),AND(G342&lt;-20,U342&gt;T342,E342&lt;55))),AND(AND(A342-Y342&lt;200,A342-Y342&gt;9),OR(AND(A342&gt;75,X342="Final Handicap"),AND(A342&gt;25,X342="1st half Handicap")),OR(AND(AK342&gt;20,U342&lt;T342,E342&gt;45),AND(AK342&lt;-20,U342&gt;T342,E342&lt;55))),AND(AND(A342-AL342&lt;200,A342-AL342&gt;9),OR(AND(A342&gt;75,X342="Final Handicap"),AND(A342&gt;25,X342="1st half Handicap")),OR(AND(AX342&gt;20,U342&lt;T342,E342&gt;45),AND(AX342&lt;-20,U342&gt;T342,E342&lt;55))),AND(AND(A342-AY342&lt;200,A342-AY342&gt;9),OR(AND(A342&gt;75,X342="Final Handicap"),AND(A342&gt;25,X342="1st half Handicap")),OR(AND(BK342&gt;20,U342&lt;T342,E342&gt;45),AND(BK342&lt;-20,U342&gt;T342,E342&lt;55)))),"GOOD","")</f>
        <v/>
      </c>
      <c r="BS342" s="21"/>
    </row>
    <row r="343" spans="1:71" ht="17.25" x14ac:dyDescent="0.3">
      <c r="A343" s="3"/>
      <c r="D343" s="8" t="str">
        <f>IF(ISBLANK(T343),"",CONCATENATE(T343,"-",U343))</f>
        <v/>
      </c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>
        <f>IF(NOT(ISBLANK(G343)),ABS(G343),0)</f>
        <v>0</v>
      </c>
      <c r="BM343">
        <f>IF(NOT(ISBLANK(AK343)),ABS(AK343),0)</f>
        <v>0</v>
      </c>
      <c r="BN343">
        <f>IF(NOT(ISBLANK(AX343)),ABS(AX343),0)</f>
        <v>0</v>
      </c>
      <c r="BO343">
        <f>IF(NOT(ISBLANK(BK343)),ABS(BK343),0)</f>
        <v>0</v>
      </c>
      <c r="BP343">
        <f>IF(ISBLANK(E343),0,ABS(E343-50))</f>
        <v>0</v>
      </c>
      <c r="BQ343" s="21" t="str">
        <f>IF(OR(ISBLANK(V343),ISBLANK(W343)),"",IF(SUM(V343,W343)=0,"",CONCATENATE(V343,"-",W343)))</f>
        <v/>
      </c>
      <c r="BR343" s="21" t="str">
        <f>IF(OR(AND(OR(AND(A343&gt;75,X343="Final Handicap"),AND(A343&gt;25,X343="1st half Handicap")),OR(AND(G343&gt;20,U343&lt;T343,E343&gt;45),AND(G343&lt;-20,U343&gt;T343,E343&lt;55))),AND(AND(A343-Y343&lt;200,A343-Y343&gt;9),OR(AND(A343&gt;75,X343="Final Handicap"),AND(A343&gt;25,X343="1st half Handicap")),OR(AND(AK343&gt;20,U343&lt;T343,E343&gt;45),AND(AK343&lt;-20,U343&gt;T343,E343&lt;55))),AND(AND(A343-AL343&lt;200,A343-AL343&gt;9),OR(AND(A343&gt;75,X343="Final Handicap"),AND(A343&gt;25,X343="1st half Handicap")),OR(AND(AX343&gt;20,U343&lt;T343,E343&gt;45),AND(AX343&lt;-20,U343&gt;T343,E343&lt;55))),AND(AND(A343-AY343&lt;200,A343-AY343&gt;9),OR(AND(A343&gt;75,X343="Final Handicap"),AND(A343&gt;25,X343="1st half Handicap")),OR(AND(BK343&gt;20,U343&lt;T343,E343&gt;45),AND(BK343&lt;-20,U343&gt;T343,E343&lt;55)))),"GOOD","")</f>
        <v/>
      </c>
      <c r="BS343" s="21"/>
    </row>
    <row r="344" spans="1:71" ht="17.25" x14ac:dyDescent="0.3">
      <c r="A344" s="3"/>
      <c r="D344" s="8" t="str">
        <f>IF(ISBLANK(T344),"",CONCATENATE(T344,"-",U344))</f>
        <v/>
      </c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>
        <f>IF(NOT(ISBLANK(G344)),ABS(G344),0)</f>
        <v>0</v>
      </c>
      <c r="BM344">
        <f>IF(NOT(ISBLANK(AK344)),ABS(AK344),0)</f>
        <v>0</v>
      </c>
      <c r="BN344">
        <f>IF(NOT(ISBLANK(AX344)),ABS(AX344),0)</f>
        <v>0</v>
      </c>
      <c r="BO344">
        <f>IF(NOT(ISBLANK(BK344)),ABS(BK344),0)</f>
        <v>0</v>
      </c>
      <c r="BP344">
        <f>IF(ISBLANK(E344),0,ABS(E344-50))</f>
        <v>0</v>
      </c>
      <c r="BQ344" s="21" t="str">
        <f>IF(OR(ISBLANK(V344),ISBLANK(W344)),"",IF(SUM(V344,W344)=0,"",CONCATENATE(V344,"-",W344)))</f>
        <v/>
      </c>
      <c r="BR344" s="21" t="str">
        <f>IF(OR(AND(OR(AND(A344&gt;75,X344="Final Handicap"),AND(A344&gt;25,X344="1st half Handicap")),OR(AND(G344&gt;20,U344&lt;T344,E344&gt;45),AND(G344&lt;-20,U344&gt;T344,E344&lt;55))),AND(AND(A344-Y344&lt;200,A344-Y344&gt;9),OR(AND(A344&gt;75,X344="Final Handicap"),AND(A344&gt;25,X344="1st half Handicap")),OR(AND(AK344&gt;20,U344&lt;T344,E344&gt;45),AND(AK344&lt;-20,U344&gt;T344,E344&lt;55))),AND(AND(A344-AL344&lt;200,A344-AL344&gt;9),OR(AND(A344&gt;75,X344="Final Handicap"),AND(A344&gt;25,X344="1st half Handicap")),OR(AND(AX344&gt;20,U344&lt;T344,E344&gt;45),AND(AX344&lt;-20,U344&gt;T344,E344&lt;55))),AND(AND(A344-AY344&lt;200,A344-AY344&gt;9),OR(AND(A344&gt;75,X344="Final Handicap"),AND(A344&gt;25,X344="1st half Handicap")),OR(AND(BK344&gt;20,U344&lt;T344,E344&gt;45),AND(BK344&lt;-20,U344&gt;T344,E344&lt;55)))),"GOOD","")</f>
        <v/>
      </c>
      <c r="BS344" s="21"/>
    </row>
    <row r="345" spans="1:71" ht="17.25" x14ac:dyDescent="0.3">
      <c r="A345" s="3"/>
      <c r="D345" s="8" t="str">
        <f>IF(ISBLANK(T345),"",CONCATENATE(T345,"-",U345))</f>
        <v/>
      </c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>
        <f>IF(NOT(ISBLANK(G345)),ABS(G345),0)</f>
        <v>0</v>
      </c>
      <c r="BM345">
        <f>IF(NOT(ISBLANK(AK345)),ABS(AK345),0)</f>
        <v>0</v>
      </c>
      <c r="BN345">
        <f>IF(NOT(ISBLANK(AX345)),ABS(AX345),0)</f>
        <v>0</v>
      </c>
      <c r="BO345">
        <f>IF(NOT(ISBLANK(BK345)),ABS(BK345),0)</f>
        <v>0</v>
      </c>
      <c r="BP345">
        <f>IF(ISBLANK(E345),0,ABS(E345-50))</f>
        <v>0</v>
      </c>
      <c r="BQ345" s="21" t="str">
        <f>IF(OR(ISBLANK(V345),ISBLANK(W345)),"",IF(SUM(V345,W345)=0,"",CONCATENATE(V345,"-",W345)))</f>
        <v/>
      </c>
      <c r="BR345" s="21" t="str">
        <f>IF(OR(AND(OR(AND(A345&gt;75,X345="Final Handicap"),AND(A345&gt;25,X345="1st half Handicap")),OR(AND(G345&gt;20,U345&lt;T345,E345&gt;45),AND(G345&lt;-20,U345&gt;T345,E345&lt;55))),AND(AND(A345-Y345&lt;200,A345-Y345&gt;9),OR(AND(A345&gt;75,X345="Final Handicap"),AND(A345&gt;25,X345="1st half Handicap")),OR(AND(AK345&gt;20,U345&lt;T345,E345&gt;45),AND(AK345&lt;-20,U345&gt;T345,E345&lt;55))),AND(AND(A345-AL345&lt;200,A345-AL345&gt;9),OR(AND(A345&gt;75,X345="Final Handicap"),AND(A345&gt;25,X345="1st half Handicap")),OR(AND(AX345&gt;20,U345&lt;T345,E345&gt;45),AND(AX345&lt;-20,U345&gt;T345,E345&lt;55))),AND(AND(A345-AY345&lt;200,A345-AY345&gt;9),OR(AND(A345&gt;75,X345="Final Handicap"),AND(A345&gt;25,X345="1st half Handicap")),OR(AND(BK345&gt;20,U345&lt;T345,E345&gt;45),AND(BK345&lt;-20,U345&gt;T345,E345&lt;55)))),"GOOD","")</f>
        <v/>
      </c>
      <c r="BS345" s="21"/>
    </row>
    <row r="346" spans="1:71" ht="17.25" x14ac:dyDescent="0.3">
      <c r="A346" s="3"/>
      <c r="D346" s="8" t="str">
        <f>IF(ISBLANK(T346),"",CONCATENATE(T346,"-",U346))</f>
        <v/>
      </c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>
        <f>IF(NOT(ISBLANK(G346)),ABS(G346),0)</f>
        <v>0</v>
      </c>
      <c r="BM346">
        <f>IF(NOT(ISBLANK(AK346)),ABS(AK346),0)</f>
        <v>0</v>
      </c>
      <c r="BN346">
        <f>IF(NOT(ISBLANK(AX346)),ABS(AX346),0)</f>
        <v>0</v>
      </c>
      <c r="BO346">
        <f>IF(NOT(ISBLANK(BK346)),ABS(BK346),0)</f>
        <v>0</v>
      </c>
      <c r="BP346">
        <f>IF(ISBLANK(E346),0,ABS(E346-50))</f>
        <v>0</v>
      </c>
      <c r="BQ346" s="21" t="str">
        <f>IF(OR(ISBLANK(V346),ISBLANK(W346)),"",IF(SUM(V346,W346)=0,"",CONCATENATE(V346,"-",W346)))</f>
        <v/>
      </c>
      <c r="BR346" s="21" t="str">
        <f>IF(OR(AND(OR(AND(A346&gt;75,X346="Final Handicap"),AND(A346&gt;25,X346="1st half Handicap")),OR(AND(G346&gt;20,U346&lt;T346,E346&gt;45),AND(G346&lt;-20,U346&gt;T346,E346&lt;55))),AND(AND(A346-Y346&lt;200,A346-Y346&gt;9),OR(AND(A346&gt;75,X346="Final Handicap"),AND(A346&gt;25,X346="1st half Handicap")),OR(AND(AK346&gt;20,U346&lt;T346,E346&gt;45),AND(AK346&lt;-20,U346&gt;T346,E346&lt;55))),AND(AND(A346-AL346&lt;200,A346-AL346&gt;9),OR(AND(A346&gt;75,X346="Final Handicap"),AND(A346&gt;25,X346="1st half Handicap")),OR(AND(AX346&gt;20,U346&lt;T346,E346&gt;45),AND(AX346&lt;-20,U346&gt;T346,E346&lt;55))),AND(AND(A346-AY346&lt;200,A346-AY346&gt;9),OR(AND(A346&gt;75,X346="Final Handicap"),AND(A346&gt;25,X346="1st half Handicap")),OR(AND(BK346&gt;20,U346&lt;T346,E346&gt;45),AND(BK346&lt;-20,U346&gt;T346,E346&lt;55)))),"GOOD","")</f>
        <v/>
      </c>
      <c r="BS346" s="21"/>
    </row>
    <row r="347" spans="1:71" ht="17.25" x14ac:dyDescent="0.3">
      <c r="A347" s="3"/>
      <c r="D347" s="8" t="str">
        <f>IF(ISBLANK(T347),"",CONCATENATE(T347,"-",U347))</f>
        <v/>
      </c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>
        <f>IF(NOT(ISBLANK(G347)),ABS(G347),0)</f>
        <v>0</v>
      </c>
      <c r="BM347">
        <f>IF(NOT(ISBLANK(AK347)),ABS(AK347),0)</f>
        <v>0</v>
      </c>
      <c r="BN347">
        <f>IF(NOT(ISBLANK(AX347)),ABS(AX347),0)</f>
        <v>0</v>
      </c>
      <c r="BO347">
        <f>IF(NOT(ISBLANK(BK347)),ABS(BK347),0)</f>
        <v>0</v>
      </c>
      <c r="BP347">
        <f>IF(ISBLANK(E347),0,ABS(E347-50))</f>
        <v>0</v>
      </c>
      <c r="BQ347" s="21" t="str">
        <f>IF(OR(ISBLANK(V347),ISBLANK(W347)),"",IF(SUM(V347,W347)=0,"",CONCATENATE(V347,"-",W347)))</f>
        <v/>
      </c>
      <c r="BR347" s="21" t="str">
        <f>IF(OR(AND(OR(AND(A347&gt;75,X347="Final Handicap"),AND(A347&gt;25,X347="1st half Handicap")),OR(AND(G347&gt;20,U347&lt;T347,E347&gt;45),AND(G347&lt;-20,U347&gt;T347,E347&lt;55))),AND(AND(A347-Y347&lt;200,A347-Y347&gt;9),OR(AND(A347&gt;75,X347="Final Handicap"),AND(A347&gt;25,X347="1st half Handicap")),OR(AND(AK347&gt;20,U347&lt;T347,E347&gt;45),AND(AK347&lt;-20,U347&gt;T347,E347&lt;55))),AND(AND(A347-AL347&lt;200,A347-AL347&gt;9),OR(AND(A347&gt;75,X347="Final Handicap"),AND(A347&gt;25,X347="1st half Handicap")),OR(AND(AX347&gt;20,U347&lt;T347,E347&gt;45),AND(AX347&lt;-20,U347&gt;T347,E347&lt;55))),AND(AND(A347-AY347&lt;200,A347-AY347&gt;9),OR(AND(A347&gt;75,X347="Final Handicap"),AND(A347&gt;25,X347="1st half Handicap")),OR(AND(BK347&gt;20,U347&lt;T347,E347&gt;45),AND(BK347&lt;-20,U347&gt;T347,E347&lt;55)))),"GOOD","")</f>
        <v/>
      </c>
      <c r="BS347" s="21"/>
    </row>
    <row r="348" spans="1:71" ht="17.25" x14ac:dyDescent="0.3">
      <c r="A348" s="3"/>
      <c r="D348" s="8" t="str">
        <f>IF(ISBLANK(T348),"",CONCATENATE(T348,"-",U348))</f>
        <v/>
      </c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>
        <f>IF(NOT(ISBLANK(G348)),ABS(G348),0)</f>
        <v>0</v>
      </c>
      <c r="BM348">
        <f>IF(NOT(ISBLANK(AK348)),ABS(AK348),0)</f>
        <v>0</v>
      </c>
      <c r="BN348">
        <f>IF(NOT(ISBLANK(AX348)),ABS(AX348),0)</f>
        <v>0</v>
      </c>
      <c r="BO348">
        <f>IF(NOT(ISBLANK(BK348)),ABS(BK348),0)</f>
        <v>0</v>
      </c>
      <c r="BP348">
        <f>IF(ISBLANK(E348),0,ABS(E348-50))</f>
        <v>0</v>
      </c>
      <c r="BQ348" s="21" t="str">
        <f>IF(OR(ISBLANK(V348),ISBLANK(W348)),"",IF(SUM(V348,W348)=0,"",CONCATENATE(V348,"-",W348)))</f>
        <v/>
      </c>
      <c r="BR348" s="21" t="str">
        <f>IF(OR(AND(OR(AND(A348&gt;75,X348="Final Handicap"),AND(A348&gt;25,X348="1st half Handicap")),OR(AND(G348&gt;20,U348&lt;T348,E348&gt;45),AND(G348&lt;-20,U348&gt;T348,E348&lt;55))),AND(AND(A348-Y348&lt;200,A348-Y348&gt;9),OR(AND(A348&gt;75,X348="Final Handicap"),AND(A348&gt;25,X348="1st half Handicap")),OR(AND(AK348&gt;20,U348&lt;T348,E348&gt;45),AND(AK348&lt;-20,U348&gt;T348,E348&lt;55))),AND(AND(A348-AL348&lt;200,A348-AL348&gt;9),OR(AND(A348&gt;75,X348="Final Handicap"),AND(A348&gt;25,X348="1st half Handicap")),OR(AND(AX348&gt;20,U348&lt;T348,E348&gt;45),AND(AX348&lt;-20,U348&gt;T348,E348&lt;55))),AND(AND(A348-AY348&lt;200,A348-AY348&gt;9),OR(AND(A348&gt;75,X348="Final Handicap"),AND(A348&gt;25,X348="1st half Handicap")),OR(AND(BK348&gt;20,U348&lt;T348,E348&gt;45),AND(BK348&lt;-20,U348&gt;T348,E348&lt;55)))),"GOOD","")</f>
        <v/>
      </c>
      <c r="BS348" s="21"/>
    </row>
    <row r="349" spans="1:71" ht="17.25" x14ac:dyDescent="0.3">
      <c r="A349" s="3"/>
      <c r="D349" s="8" t="str">
        <f>IF(ISBLANK(T349),"",CONCATENATE(T349,"-",U349))</f>
        <v/>
      </c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>
        <f>IF(NOT(ISBLANK(G349)),ABS(G349),0)</f>
        <v>0</v>
      </c>
      <c r="BM349">
        <f>IF(NOT(ISBLANK(AK349)),ABS(AK349),0)</f>
        <v>0</v>
      </c>
      <c r="BN349">
        <f>IF(NOT(ISBLANK(AX349)),ABS(AX349),0)</f>
        <v>0</v>
      </c>
      <c r="BO349">
        <f>IF(NOT(ISBLANK(BK349)),ABS(BK349),0)</f>
        <v>0</v>
      </c>
      <c r="BP349">
        <f>IF(ISBLANK(E349),0,ABS(E349-50))</f>
        <v>0</v>
      </c>
      <c r="BQ349" s="21" t="str">
        <f>IF(OR(ISBLANK(V349),ISBLANK(W349)),"",IF(SUM(V349,W349)=0,"",CONCATENATE(V349,"-",W349)))</f>
        <v/>
      </c>
      <c r="BR349" s="21" t="str">
        <f>IF(OR(AND(OR(AND(A349&gt;75,X349="Final Handicap"),AND(A349&gt;25,X349="1st half Handicap")),OR(AND(G349&gt;20,U349&lt;T349,E349&gt;45),AND(G349&lt;-20,U349&gt;T349,E349&lt;55))),AND(AND(A349-Y349&lt;200,A349-Y349&gt;9),OR(AND(A349&gt;75,X349="Final Handicap"),AND(A349&gt;25,X349="1st half Handicap")),OR(AND(AK349&gt;20,U349&lt;T349,E349&gt;45),AND(AK349&lt;-20,U349&gt;T349,E349&lt;55))),AND(AND(A349-AL349&lt;200,A349-AL349&gt;9),OR(AND(A349&gt;75,X349="Final Handicap"),AND(A349&gt;25,X349="1st half Handicap")),OR(AND(AX349&gt;20,U349&lt;T349,E349&gt;45),AND(AX349&lt;-20,U349&gt;T349,E349&lt;55))),AND(AND(A349-AY349&lt;200,A349-AY349&gt;9),OR(AND(A349&gt;75,X349="Final Handicap"),AND(A349&gt;25,X349="1st half Handicap")),OR(AND(BK349&gt;20,U349&lt;T349,E349&gt;45),AND(BK349&lt;-20,U349&gt;T349,E349&lt;55)))),"GOOD","")</f>
        <v/>
      </c>
      <c r="BS349" s="21"/>
    </row>
    <row r="350" spans="1:71" ht="17.25" x14ac:dyDescent="0.3">
      <c r="A350" s="3"/>
      <c r="D350" s="8" t="str">
        <f>IF(ISBLANK(T350),"",CONCATENATE(T350,"-",U350))</f>
        <v/>
      </c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>
        <f>IF(NOT(ISBLANK(G350)),ABS(G350),0)</f>
        <v>0</v>
      </c>
      <c r="BM350">
        <f>IF(NOT(ISBLANK(AK350)),ABS(AK350),0)</f>
        <v>0</v>
      </c>
      <c r="BN350">
        <f>IF(NOT(ISBLANK(AX350)),ABS(AX350),0)</f>
        <v>0</v>
      </c>
      <c r="BO350">
        <f>IF(NOT(ISBLANK(BK350)),ABS(BK350),0)</f>
        <v>0</v>
      </c>
      <c r="BP350">
        <f>IF(ISBLANK(E350),0,ABS(E350-50))</f>
        <v>0</v>
      </c>
      <c r="BQ350" s="21" t="str">
        <f>IF(OR(ISBLANK(V350),ISBLANK(W350)),"",IF(SUM(V350,W350)=0,"",CONCATENATE(V350,"-",W350)))</f>
        <v/>
      </c>
      <c r="BR350" s="21" t="str">
        <f>IF(OR(AND(OR(AND(A350&gt;75,X350="Final Handicap"),AND(A350&gt;25,X350="1st half Handicap")),OR(AND(G350&gt;20,U350&lt;T350,E350&gt;45),AND(G350&lt;-20,U350&gt;T350,E350&lt;55))),AND(AND(A350-Y350&lt;200,A350-Y350&gt;9),OR(AND(A350&gt;75,X350="Final Handicap"),AND(A350&gt;25,X350="1st half Handicap")),OR(AND(AK350&gt;20,U350&lt;T350,E350&gt;45),AND(AK350&lt;-20,U350&gt;T350,E350&lt;55))),AND(AND(A350-AL350&lt;200,A350-AL350&gt;9),OR(AND(A350&gt;75,X350="Final Handicap"),AND(A350&gt;25,X350="1st half Handicap")),OR(AND(AX350&gt;20,U350&lt;T350,E350&gt;45),AND(AX350&lt;-20,U350&gt;T350,E350&lt;55))),AND(AND(A350-AY350&lt;200,A350-AY350&gt;9),OR(AND(A350&gt;75,X350="Final Handicap"),AND(A350&gt;25,X350="1st half Handicap")),OR(AND(BK350&gt;20,U350&lt;T350,E350&gt;45),AND(BK350&lt;-20,U350&gt;T350,E350&lt;55)))),"GOOD","")</f>
        <v/>
      </c>
      <c r="BS350" s="21"/>
    </row>
    <row r="351" spans="1:71" ht="17.25" x14ac:dyDescent="0.3">
      <c r="A351" s="3"/>
      <c r="D351" s="8" t="str">
        <f>IF(ISBLANK(T351),"",CONCATENATE(T351,"-",U351))</f>
        <v/>
      </c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>
        <f>IF(NOT(ISBLANK(G351)),ABS(G351),0)</f>
        <v>0</v>
      </c>
      <c r="BM351">
        <f>IF(NOT(ISBLANK(AK351)),ABS(AK351),0)</f>
        <v>0</v>
      </c>
      <c r="BN351">
        <f>IF(NOT(ISBLANK(AX351)),ABS(AX351),0)</f>
        <v>0</v>
      </c>
      <c r="BO351">
        <f>IF(NOT(ISBLANK(BK351)),ABS(BK351),0)</f>
        <v>0</v>
      </c>
      <c r="BP351">
        <f>IF(ISBLANK(E351),0,ABS(E351-50))</f>
        <v>0</v>
      </c>
      <c r="BQ351" s="21" t="str">
        <f>IF(OR(ISBLANK(V351),ISBLANK(W351)),"",IF(SUM(V351,W351)=0,"",CONCATENATE(V351,"-",W351)))</f>
        <v/>
      </c>
      <c r="BR351" s="21" t="str">
        <f>IF(OR(AND(OR(AND(A351&gt;75,X351="Final Handicap"),AND(A351&gt;25,X351="1st half Handicap")),OR(AND(G351&gt;20,U351&lt;T351,E351&gt;45),AND(G351&lt;-20,U351&gt;T351,E351&lt;55))),AND(AND(A351-Y351&lt;200,A351-Y351&gt;9),OR(AND(A351&gt;75,X351="Final Handicap"),AND(A351&gt;25,X351="1st half Handicap")),OR(AND(AK351&gt;20,U351&lt;T351,E351&gt;45),AND(AK351&lt;-20,U351&gt;T351,E351&lt;55))),AND(AND(A351-AL351&lt;200,A351-AL351&gt;9),OR(AND(A351&gt;75,X351="Final Handicap"),AND(A351&gt;25,X351="1st half Handicap")),OR(AND(AX351&gt;20,U351&lt;T351,E351&gt;45),AND(AX351&lt;-20,U351&gt;T351,E351&lt;55))),AND(AND(A351-AY351&lt;200,A351-AY351&gt;9),OR(AND(A351&gt;75,X351="Final Handicap"),AND(A351&gt;25,X351="1st half Handicap")),OR(AND(BK351&gt;20,U351&lt;T351,E351&gt;45),AND(BK351&lt;-20,U351&gt;T351,E351&lt;55)))),"GOOD","")</f>
        <v/>
      </c>
      <c r="BS351" s="21"/>
    </row>
    <row r="352" spans="1:71" ht="17.25" x14ac:dyDescent="0.3">
      <c r="A352" s="3"/>
      <c r="D352" s="8" t="str">
        <f>IF(ISBLANK(T352),"",CONCATENATE(T352,"-",U352))</f>
        <v/>
      </c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>
        <f>IF(NOT(ISBLANK(G352)),ABS(G352),0)</f>
        <v>0</v>
      </c>
      <c r="BM352">
        <f>IF(NOT(ISBLANK(AK352)),ABS(AK352),0)</f>
        <v>0</v>
      </c>
      <c r="BN352">
        <f>IF(NOT(ISBLANK(AX352)),ABS(AX352),0)</f>
        <v>0</v>
      </c>
      <c r="BO352">
        <f>IF(NOT(ISBLANK(BK352)),ABS(BK352),0)</f>
        <v>0</v>
      </c>
      <c r="BP352">
        <f>IF(ISBLANK(E352),0,ABS(E352-50))</f>
        <v>0</v>
      </c>
      <c r="BQ352" s="21" t="str">
        <f>IF(OR(ISBLANK(V352),ISBLANK(W352)),"",IF(SUM(V352,W352)=0,"",CONCATENATE(V352,"-",W352)))</f>
        <v/>
      </c>
      <c r="BR352" s="21" t="str">
        <f>IF(OR(AND(OR(AND(A352&gt;75,X352="Final Handicap"),AND(A352&gt;25,X352="1st half Handicap")),OR(AND(G352&gt;20,U352&lt;T352,E352&gt;45),AND(G352&lt;-20,U352&gt;T352,E352&lt;55))),AND(AND(A352-Y352&lt;200,A352-Y352&gt;9),OR(AND(A352&gt;75,X352="Final Handicap"),AND(A352&gt;25,X352="1st half Handicap")),OR(AND(AK352&gt;20,U352&lt;T352,E352&gt;45),AND(AK352&lt;-20,U352&gt;T352,E352&lt;55))),AND(AND(A352-AL352&lt;200,A352-AL352&gt;9),OR(AND(A352&gt;75,X352="Final Handicap"),AND(A352&gt;25,X352="1st half Handicap")),OR(AND(AX352&gt;20,U352&lt;T352,E352&gt;45),AND(AX352&lt;-20,U352&gt;T352,E352&lt;55))),AND(AND(A352-AY352&lt;200,A352-AY352&gt;9),OR(AND(A352&gt;75,X352="Final Handicap"),AND(A352&gt;25,X352="1st half Handicap")),OR(AND(BK352&gt;20,U352&lt;T352,E352&gt;45),AND(BK352&lt;-20,U352&gt;T352,E352&lt;55)))),"GOOD","")</f>
        <v/>
      </c>
      <c r="BS352" s="21"/>
    </row>
    <row r="353" spans="1:71" ht="17.25" x14ac:dyDescent="0.3">
      <c r="A353" s="3"/>
      <c r="D353" s="8" t="str">
        <f>IF(ISBLANK(T353),"",CONCATENATE(T353,"-",U353))</f>
        <v/>
      </c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>
        <f>IF(NOT(ISBLANK(G353)),ABS(G353),0)</f>
        <v>0</v>
      </c>
      <c r="BM353">
        <f>IF(NOT(ISBLANK(AK353)),ABS(AK353),0)</f>
        <v>0</v>
      </c>
      <c r="BN353">
        <f>IF(NOT(ISBLANK(AX353)),ABS(AX353),0)</f>
        <v>0</v>
      </c>
      <c r="BO353">
        <f>IF(NOT(ISBLANK(BK353)),ABS(BK353),0)</f>
        <v>0</v>
      </c>
      <c r="BP353">
        <f>IF(ISBLANK(E353),0,ABS(E353-50))</f>
        <v>0</v>
      </c>
      <c r="BQ353" s="21" t="str">
        <f>IF(OR(ISBLANK(V353),ISBLANK(W353)),"",IF(SUM(V353,W353)=0,"",CONCATENATE(V353,"-",W353)))</f>
        <v/>
      </c>
      <c r="BR353" s="21" t="str">
        <f>IF(OR(AND(OR(AND(A353&gt;75,X353="Final Handicap"),AND(A353&gt;25,X353="1st half Handicap")),OR(AND(G353&gt;20,U353&lt;T353,E353&gt;45),AND(G353&lt;-20,U353&gt;T353,E353&lt;55))),AND(AND(A353-Y353&lt;200,A353-Y353&gt;9),OR(AND(A353&gt;75,X353="Final Handicap"),AND(A353&gt;25,X353="1st half Handicap")),OR(AND(AK353&gt;20,U353&lt;T353,E353&gt;45),AND(AK353&lt;-20,U353&gt;T353,E353&lt;55))),AND(AND(A353-AL353&lt;200,A353-AL353&gt;9),OR(AND(A353&gt;75,X353="Final Handicap"),AND(A353&gt;25,X353="1st half Handicap")),OR(AND(AX353&gt;20,U353&lt;T353,E353&gt;45),AND(AX353&lt;-20,U353&gt;T353,E353&lt;55))),AND(AND(A353-AY353&lt;200,A353-AY353&gt;9),OR(AND(A353&gt;75,X353="Final Handicap"),AND(A353&gt;25,X353="1st half Handicap")),OR(AND(BK353&gt;20,U353&lt;T353,E353&gt;45),AND(BK353&lt;-20,U353&gt;T353,E353&lt;55)))),"GOOD","")</f>
        <v/>
      </c>
      <c r="BS353" s="21"/>
    </row>
    <row r="354" spans="1:71" ht="17.25" x14ac:dyDescent="0.3">
      <c r="A354" s="3"/>
      <c r="D354" s="8" t="str">
        <f>IF(ISBLANK(T354),"",CONCATENATE(T354,"-",U354))</f>
        <v/>
      </c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>
        <f>IF(NOT(ISBLANK(G354)),ABS(G354),0)</f>
        <v>0</v>
      </c>
      <c r="BM354">
        <f>IF(NOT(ISBLANK(AK354)),ABS(AK354),0)</f>
        <v>0</v>
      </c>
      <c r="BN354">
        <f>IF(NOT(ISBLANK(AX354)),ABS(AX354),0)</f>
        <v>0</v>
      </c>
      <c r="BO354">
        <f>IF(NOT(ISBLANK(BK354)),ABS(BK354),0)</f>
        <v>0</v>
      </c>
      <c r="BP354">
        <f>IF(ISBLANK(E354),0,ABS(E354-50))</f>
        <v>0</v>
      </c>
      <c r="BQ354" s="21" t="str">
        <f>IF(OR(ISBLANK(V354),ISBLANK(W354)),"",IF(SUM(V354,W354)=0,"",CONCATENATE(V354,"-",W354)))</f>
        <v/>
      </c>
      <c r="BR354" s="21" t="str">
        <f>IF(OR(AND(OR(AND(A354&gt;75,X354="Final Handicap"),AND(A354&gt;25,X354="1st half Handicap")),OR(AND(G354&gt;20,U354&lt;T354,E354&gt;45),AND(G354&lt;-20,U354&gt;T354,E354&lt;55))),AND(AND(A354-Y354&lt;200,A354-Y354&gt;9),OR(AND(A354&gt;75,X354="Final Handicap"),AND(A354&gt;25,X354="1st half Handicap")),OR(AND(AK354&gt;20,U354&lt;T354,E354&gt;45),AND(AK354&lt;-20,U354&gt;T354,E354&lt;55))),AND(AND(A354-AL354&lt;200,A354-AL354&gt;9),OR(AND(A354&gt;75,X354="Final Handicap"),AND(A354&gt;25,X354="1st half Handicap")),OR(AND(AX354&gt;20,U354&lt;T354,E354&gt;45),AND(AX354&lt;-20,U354&gt;T354,E354&lt;55))),AND(AND(A354-AY354&lt;200,A354-AY354&gt;9),OR(AND(A354&gt;75,X354="Final Handicap"),AND(A354&gt;25,X354="1st half Handicap")),OR(AND(BK354&gt;20,U354&lt;T354,E354&gt;45),AND(BK354&lt;-20,U354&gt;T354,E354&lt;55)))),"GOOD","")</f>
        <v/>
      </c>
      <c r="BS354" s="21"/>
    </row>
    <row r="355" spans="1:71" ht="17.25" x14ac:dyDescent="0.3">
      <c r="A355" s="3"/>
      <c r="D355" s="8" t="str">
        <f>IF(ISBLANK(T355),"",CONCATENATE(T355,"-",U355))</f>
        <v/>
      </c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>
        <f>IF(NOT(ISBLANK(G355)),ABS(G355),0)</f>
        <v>0</v>
      </c>
      <c r="BM355">
        <f>IF(NOT(ISBLANK(AK355)),ABS(AK355),0)</f>
        <v>0</v>
      </c>
      <c r="BN355">
        <f>IF(NOT(ISBLANK(AX355)),ABS(AX355),0)</f>
        <v>0</v>
      </c>
      <c r="BO355">
        <f>IF(NOT(ISBLANK(BK355)),ABS(BK355),0)</f>
        <v>0</v>
      </c>
      <c r="BP355">
        <f>IF(ISBLANK(E355),0,ABS(E355-50))</f>
        <v>0</v>
      </c>
      <c r="BQ355" s="21" t="str">
        <f>IF(OR(ISBLANK(V355),ISBLANK(W355)),"",IF(SUM(V355,W355)=0,"",CONCATENATE(V355,"-",W355)))</f>
        <v/>
      </c>
      <c r="BR355" s="21" t="str">
        <f>IF(OR(AND(OR(AND(A355&gt;75,X355="Final Handicap"),AND(A355&gt;25,X355="1st half Handicap")),OR(AND(G355&gt;20,U355&lt;T355,E355&gt;45),AND(G355&lt;-20,U355&gt;T355,E355&lt;55))),AND(AND(A355-Y355&lt;200,A355-Y355&gt;9),OR(AND(A355&gt;75,X355="Final Handicap"),AND(A355&gt;25,X355="1st half Handicap")),OR(AND(AK355&gt;20,U355&lt;T355,E355&gt;45),AND(AK355&lt;-20,U355&gt;T355,E355&lt;55))),AND(AND(A355-AL355&lt;200,A355-AL355&gt;9),OR(AND(A355&gt;75,X355="Final Handicap"),AND(A355&gt;25,X355="1st half Handicap")),OR(AND(AX355&gt;20,U355&lt;T355,E355&gt;45),AND(AX355&lt;-20,U355&gt;T355,E355&lt;55))),AND(AND(A355-AY355&lt;200,A355-AY355&gt;9),OR(AND(A355&gt;75,X355="Final Handicap"),AND(A355&gt;25,X355="1st half Handicap")),OR(AND(BK355&gt;20,U355&lt;T355,E355&gt;45),AND(BK355&lt;-20,U355&gt;T355,E355&lt;55)))),"GOOD","")</f>
        <v/>
      </c>
      <c r="BS355" s="21"/>
    </row>
    <row r="356" spans="1:71" ht="17.25" x14ac:dyDescent="0.3">
      <c r="A356" s="3"/>
      <c r="D356" s="8" t="str">
        <f>IF(ISBLANK(T356),"",CONCATENATE(T356,"-",U356))</f>
        <v/>
      </c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>
        <f>IF(NOT(ISBLANK(G356)),ABS(G356),0)</f>
        <v>0</v>
      </c>
      <c r="BM356">
        <f>IF(NOT(ISBLANK(AK356)),ABS(AK356),0)</f>
        <v>0</v>
      </c>
      <c r="BN356">
        <f>IF(NOT(ISBLANK(AX356)),ABS(AX356),0)</f>
        <v>0</v>
      </c>
      <c r="BO356">
        <f>IF(NOT(ISBLANK(BK356)),ABS(BK356),0)</f>
        <v>0</v>
      </c>
      <c r="BP356">
        <f>IF(ISBLANK(E356),0,ABS(E356-50))</f>
        <v>0</v>
      </c>
      <c r="BQ356" s="21" t="str">
        <f>IF(OR(ISBLANK(V356),ISBLANK(W356)),"",IF(SUM(V356,W356)=0,"",CONCATENATE(V356,"-",W356)))</f>
        <v/>
      </c>
      <c r="BR356" s="21" t="str">
        <f>IF(OR(AND(OR(AND(A356&gt;75,X356="Final Handicap"),AND(A356&gt;25,X356="1st half Handicap")),OR(AND(G356&gt;20,U356&lt;T356,E356&gt;45),AND(G356&lt;-20,U356&gt;T356,E356&lt;55))),AND(AND(A356-Y356&lt;200,A356-Y356&gt;9),OR(AND(A356&gt;75,X356="Final Handicap"),AND(A356&gt;25,X356="1st half Handicap")),OR(AND(AK356&gt;20,U356&lt;T356,E356&gt;45),AND(AK356&lt;-20,U356&gt;T356,E356&lt;55))),AND(AND(A356-AL356&lt;200,A356-AL356&gt;9),OR(AND(A356&gt;75,X356="Final Handicap"),AND(A356&gt;25,X356="1st half Handicap")),OR(AND(AX356&gt;20,U356&lt;T356,E356&gt;45),AND(AX356&lt;-20,U356&gt;T356,E356&lt;55))),AND(AND(A356-AY356&lt;200,A356-AY356&gt;9),OR(AND(A356&gt;75,X356="Final Handicap"),AND(A356&gt;25,X356="1st half Handicap")),OR(AND(BK356&gt;20,U356&lt;T356,E356&gt;45),AND(BK356&lt;-20,U356&gt;T356,E356&lt;55)))),"GOOD","")</f>
        <v/>
      </c>
      <c r="BS356" s="21"/>
    </row>
    <row r="357" spans="1:71" ht="17.25" x14ac:dyDescent="0.3">
      <c r="A357" s="3"/>
      <c r="D357" s="8" t="str">
        <f>IF(ISBLANK(T357),"",CONCATENATE(T357,"-",U357))</f>
        <v/>
      </c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>
        <f>IF(NOT(ISBLANK(G357)),ABS(G357),0)</f>
        <v>0</v>
      </c>
      <c r="BM357">
        <f>IF(NOT(ISBLANK(AK357)),ABS(AK357),0)</f>
        <v>0</v>
      </c>
      <c r="BN357">
        <f>IF(NOT(ISBLANK(AX357)),ABS(AX357),0)</f>
        <v>0</v>
      </c>
      <c r="BO357">
        <f>IF(NOT(ISBLANK(BK357)),ABS(BK357),0)</f>
        <v>0</v>
      </c>
      <c r="BP357">
        <f>IF(ISBLANK(E357),0,ABS(E357-50))</f>
        <v>0</v>
      </c>
      <c r="BQ357" s="21" t="str">
        <f>IF(OR(ISBLANK(V357),ISBLANK(W357)),"",IF(SUM(V357,W357)=0,"",CONCATENATE(V357,"-",W357)))</f>
        <v/>
      </c>
      <c r="BR357" s="21" t="str">
        <f>IF(OR(AND(OR(AND(A357&gt;75,X357="Final Handicap"),AND(A357&gt;25,X357="1st half Handicap")),OR(AND(G357&gt;20,U357&lt;T357,E357&gt;45),AND(G357&lt;-20,U357&gt;T357,E357&lt;55))),AND(AND(A357-Y357&lt;200,A357-Y357&gt;9),OR(AND(A357&gt;75,X357="Final Handicap"),AND(A357&gt;25,X357="1st half Handicap")),OR(AND(AK357&gt;20,U357&lt;T357,E357&gt;45),AND(AK357&lt;-20,U357&gt;T357,E357&lt;55))),AND(AND(A357-AL357&lt;200,A357-AL357&gt;9),OR(AND(A357&gt;75,X357="Final Handicap"),AND(A357&gt;25,X357="1st half Handicap")),OR(AND(AX357&gt;20,U357&lt;T357,E357&gt;45),AND(AX357&lt;-20,U357&gt;T357,E357&lt;55))),AND(AND(A357-AY357&lt;200,A357-AY357&gt;9),OR(AND(A357&gt;75,X357="Final Handicap"),AND(A357&gt;25,X357="1st half Handicap")),OR(AND(BK357&gt;20,U357&lt;T357,E357&gt;45),AND(BK357&lt;-20,U357&gt;T357,E357&lt;55)))),"GOOD","")</f>
        <v/>
      </c>
      <c r="BS357" s="21"/>
    </row>
    <row r="358" spans="1:71" ht="17.25" x14ac:dyDescent="0.3">
      <c r="A358" s="3"/>
      <c r="D358" s="8" t="str">
        <f>IF(ISBLANK(T358),"",CONCATENATE(T358,"-",U358))</f>
        <v/>
      </c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>
        <f>IF(NOT(ISBLANK(G358)),ABS(G358),0)</f>
        <v>0</v>
      </c>
      <c r="BM358">
        <f>IF(NOT(ISBLANK(AK358)),ABS(AK358),0)</f>
        <v>0</v>
      </c>
      <c r="BN358">
        <f>IF(NOT(ISBLANK(AX358)),ABS(AX358),0)</f>
        <v>0</v>
      </c>
      <c r="BO358">
        <f>IF(NOT(ISBLANK(BK358)),ABS(BK358),0)</f>
        <v>0</v>
      </c>
      <c r="BP358">
        <f>IF(ISBLANK(E358),0,ABS(E358-50))</f>
        <v>0</v>
      </c>
      <c r="BQ358" s="21" t="str">
        <f>IF(OR(ISBLANK(V358),ISBLANK(W358)),"",IF(SUM(V358,W358)=0,"",CONCATENATE(V358,"-",W358)))</f>
        <v/>
      </c>
      <c r="BR358" s="21" t="str">
        <f>IF(OR(AND(OR(AND(A358&gt;75,X358="Final Handicap"),AND(A358&gt;25,X358="1st half Handicap")),OR(AND(G358&gt;20,U358&lt;T358,E358&gt;45),AND(G358&lt;-20,U358&gt;T358,E358&lt;55))),AND(AND(A358-Y358&lt;200,A358-Y358&gt;9),OR(AND(A358&gt;75,X358="Final Handicap"),AND(A358&gt;25,X358="1st half Handicap")),OR(AND(AK358&gt;20,U358&lt;T358,E358&gt;45),AND(AK358&lt;-20,U358&gt;T358,E358&lt;55))),AND(AND(A358-AL358&lt;200,A358-AL358&gt;9),OR(AND(A358&gt;75,X358="Final Handicap"),AND(A358&gt;25,X358="1st half Handicap")),OR(AND(AX358&gt;20,U358&lt;T358,E358&gt;45),AND(AX358&lt;-20,U358&gt;T358,E358&lt;55))),AND(AND(A358-AY358&lt;200,A358-AY358&gt;9),OR(AND(A358&gt;75,X358="Final Handicap"),AND(A358&gt;25,X358="1st half Handicap")),OR(AND(BK358&gt;20,U358&lt;T358,E358&gt;45),AND(BK358&lt;-20,U358&gt;T358,E358&lt;55)))),"GOOD","")</f>
        <v/>
      </c>
      <c r="BS358" s="21"/>
    </row>
    <row r="359" spans="1:71" ht="17.25" x14ac:dyDescent="0.3">
      <c r="A359" s="3"/>
      <c r="D359" s="8" t="str">
        <f>IF(ISBLANK(T359),"",CONCATENATE(T359,"-",U359))</f>
        <v/>
      </c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>
        <f>IF(NOT(ISBLANK(G359)),ABS(G359),0)</f>
        <v>0</v>
      </c>
      <c r="BM359">
        <f>IF(NOT(ISBLANK(AK359)),ABS(AK359),0)</f>
        <v>0</v>
      </c>
      <c r="BN359">
        <f>IF(NOT(ISBLANK(AX359)),ABS(AX359),0)</f>
        <v>0</v>
      </c>
      <c r="BO359">
        <f>IF(NOT(ISBLANK(BK359)),ABS(BK359),0)</f>
        <v>0</v>
      </c>
      <c r="BP359">
        <f>IF(ISBLANK(E359),0,ABS(E359-50))</f>
        <v>0</v>
      </c>
      <c r="BQ359" s="21" t="str">
        <f>IF(OR(ISBLANK(V359),ISBLANK(W359)),"",IF(SUM(V359,W359)=0,"",CONCATENATE(V359,"-",W359)))</f>
        <v/>
      </c>
      <c r="BR359" s="21" t="str">
        <f>IF(OR(AND(OR(AND(A359&gt;75,X359="Final Handicap"),AND(A359&gt;25,X359="1st half Handicap")),OR(AND(G359&gt;20,U359&lt;T359,E359&gt;45),AND(G359&lt;-20,U359&gt;T359,E359&lt;55))),AND(AND(A359-Y359&lt;200,A359-Y359&gt;9),OR(AND(A359&gt;75,X359="Final Handicap"),AND(A359&gt;25,X359="1st half Handicap")),OR(AND(AK359&gt;20,U359&lt;T359,E359&gt;45),AND(AK359&lt;-20,U359&gt;T359,E359&lt;55))),AND(AND(A359-AL359&lt;200,A359-AL359&gt;9),OR(AND(A359&gt;75,X359="Final Handicap"),AND(A359&gt;25,X359="1st half Handicap")),OR(AND(AX359&gt;20,U359&lt;T359,E359&gt;45),AND(AX359&lt;-20,U359&gt;T359,E359&lt;55))),AND(AND(A359-AY359&lt;200,A359-AY359&gt;9),OR(AND(A359&gt;75,X359="Final Handicap"),AND(A359&gt;25,X359="1st half Handicap")),OR(AND(BK359&gt;20,U359&lt;T359,E359&gt;45),AND(BK359&lt;-20,U359&gt;T359,E359&lt;55)))),"GOOD","")</f>
        <v/>
      </c>
      <c r="BS359" s="21"/>
    </row>
    <row r="360" spans="1:71" ht="17.25" x14ac:dyDescent="0.3">
      <c r="A360" s="3"/>
      <c r="D360" s="8" t="str">
        <f>IF(ISBLANK(T360),"",CONCATENATE(T360,"-",U360))</f>
        <v/>
      </c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>
        <f>IF(NOT(ISBLANK(G360)),ABS(G360),0)</f>
        <v>0</v>
      </c>
      <c r="BM360">
        <f>IF(NOT(ISBLANK(AK360)),ABS(AK360),0)</f>
        <v>0</v>
      </c>
      <c r="BN360">
        <f>IF(NOT(ISBLANK(AX360)),ABS(AX360),0)</f>
        <v>0</v>
      </c>
      <c r="BO360">
        <f>IF(NOT(ISBLANK(BK360)),ABS(BK360),0)</f>
        <v>0</v>
      </c>
      <c r="BP360">
        <f>IF(ISBLANK(E360),0,ABS(E360-50))</f>
        <v>0</v>
      </c>
      <c r="BQ360" s="21" t="str">
        <f>IF(OR(ISBLANK(V360),ISBLANK(W360)),"",IF(SUM(V360,W360)=0,"",CONCATENATE(V360,"-",W360)))</f>
        <v/>
      </c>
      <c r="BR360" s="21" t="str">
        <f>IF(OR(AND(OR(AND(A360&gt;75,X360="Final Handicap"),AND(A360&gt;25,X360="1st half Handicap")),OR(AND(G360&gt;20,U360&lt;T360,E360&gt;45),AND(G360&lt;-20,U360&gt;T360,E360&lt;55))),AND(AND(A360-Y360&lt;200,A360-Y360&gt;9),OR(AND(A360&gt;75,X360="Final Handicap"),AND(A360&gt;25,X360="1st half Handicap")),OR(AND(AK360&gt;20,U360&lt;T360,E360&gt;45),AND(AK360&lt;-20,U360&gt;T360,E360&lt;55))),AND(AND(A360-AL360&lt;200,A360-AL360&gt;9),OR(AND(A360&gt;75,X360="Final Handicap"),AND(A360&gt;25,X360="1st half Handicap")),OR(AND(AX360&gt;20,U360&lt;T360,E360&gt;45),AND(AX360&lt;-20,U360&gt;T360,E360&lt;55))),AND(AND(A360-AY360&lt;200,A360-AY360&gt;9),OR(AND(A360&gt;75,X360="Final Handicap"),AND(A360&gt;25,X360="1st half Handicap")),OR(AND(BK360&gt;20,U360&lt;T360,E360&gt;45),AND(BK360&lt;-20,U360&gt;T360,E360&lt;55)))),"GOOD","")</f>
        <v/>
      </c>
      <c r="BS360" s="21"/>
    </row>
    <row r="361" spans="1:71" ht="17.25" x14ac:dyDescent="0.3">
      <c r="A361" s="3"/>
      <c r="D361" s="8" t="str">
        <f>IF(ISBLANK(T361),"",CONCATENATE(T361,"-",U361))</f>
        <v/>
      </c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>
        <f>IF(NOT(ISBLANK(G361)),ABS(G361),0)</f>
        <v>0</v>
      </c>
      <c r="BM361">
        <f>IF(NOT(ISBLANK(AK361)),ABS(AK361),0)</f>
        <v>0</v>
      </c>
      <c r="BN361">
        <f>IF(NOT(ISBLANK(AX361)),ABS(AX361),0)</f>
        <v>0</v>
      </c>
      <c r="BO361">
        <f>IF(NOT(ISBLANK(BK361)),ABS(BK361),0)</f>
        <v>0</v>
      </c>
      <c r="BP361">
        <f>IF(ISBLANK(E361),0,ABS(E361-50))</f>
        <v>0</v>
      </c>
      <c r="BQ361" s="21" t="str">
        <f>IF(OR(ISBLANK(V361),ISBLANK(W361)),"",IF(SUM(V361,W361)=0,"",CONCATENATE(V361,"-",W361)))</f>
        <v/>
      </c>
      <c r="BR361" s="21" t="str">
        <f>IF(OR(AND(OR(AND(A361&gt;75,X361="Final Handicap"),AND(A361&gt;25,X361="1st half Handicap")),OR(AND(G361&gt;20,U361&lt;T361,E361&gt;45),AND(G361&lt;-20,U361&gt;T361,E361&lt;55))),AND(AND(A361-Y361&lt;200,A361-Y361&gt;9),OR(AND(A361&gt;75,X361="Final Handicap"),AND(A361&gt;25,X361="1st half Handicap")),OR(AND(AK361&gt;20,U361&lt;T361,E361&gt;45),AND(AK361&lt;-20,U361&gt;T361,E361&lt;55))),AND(AND(A361-AL361&lt;200,A361-AL361&gt;9),OR(AND(A361&gt;75,X361="Final Handicap"),AND(A361&gt;25,X361="1st half Handicap")),OR(AND(AX361&gt;20,U361&lt;T361,E361&gt;45),AND(AX361&lt;-20,U361&gt;T361,E361&lt;55))),AND(AND(A361-AY361&lt;200,A361-AY361&gt;9),OR(AND(A361&gt;75,X361="Final Handicap"),AND(A361&gt;25,X361="1st half Handicap")),OR(AND(BK361&gt;20,U361&lt;T361,E361&gt;45),AND(BK361&lt;-20,U361&gt;T361,E361&lt;55)))),"GOOD","")</f>
        <v/>
      </c>
      <c r="BS361" s="21"/>
    </row>
    <row r="362" spans="1:71" ht="17.25" x14ac:dyDescent="0.3">
      <c r="A362" s="3"/>
      <c r="D362" s="8" t="str">
        <f>IF(ISBLANK(T362),"",CONCATENATE(T362,"-",U362))</f>
        <v/>
      </c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>
        <f>IF(NOT(ISBLANK(G362)),ABS(G362),0)</f>
        <v>0</v>
      </c>
      <c r="BM362">
        <f>IF(NOT(ISBLANK(AK362)),ABS(AK362),0)</f>
        <v>0</v>
      </c>
      <c r="BN362">
        <f>IF(NOT(ISBLANK(AX362)),ABS(AX362),0)</f>
        <v>0</v>
      </c>
      <c r="BO362">
        <f>IF(NOT(ISBLANK(BK362)),ABS(BK362),0)</f>
        <v>0</v>
      </c>
      <c r="BP362">
        <f>IF(ISBLANK(E362),0,ABS(E362-50))</f>
        <v>0</v>
      </c>
      <c r="BQ362" s="21" t="str">
        <f>IF(OR(ISBLANK(V362),ISBLANK(W362)),"",IF(SUM(V362,W362)=0,"",CONCATENATE(V362,"-",W362)))</f>
        <v/>
      </c>
      <c r="BR362" s="21" t="str">
        <f>IF(OR(AND(OR(AND(A362&gt;75,X362="Final Handicap"),AND(A362&gt;25,X362="1st half Handicap")),OR(AND(G362&gt;20,U362&lt;T362,E362&gt;45),AND(G362&lt;-20,U362&gt;T362,E362&lt;55))),AND(AND(A362-Y362&lt;200,A362-Y362&gt;9),OR(AND(A362&gt;75,X362="Final Handicap"),AND(A362&gt;25,X362="1st half Handicap")),OR(AND(AK362&gt;20,U362&lt;T362,E362&gt;45),AND(AK362&lt;-20,U362&gt;T362,E362&lt;55))),AND(AND(A362-AL362&lt;200,A362-AL362&gt;9),OR(AND(A362&gt;75,X362="Final Handicap"),AND(A362&gt;25,X362="1st half Handicap")),OR(AND(AX362&gt;20,U362&lt;T362,E362&gt;45),AND(AX362&lt;-20,U362&gt;T362,E362&lt;55))),AND(AND(A362-AY362&lt;200,A362-AY362&gt;9),OR(AND(A362&gt;75,X362="Final Handicap"),AND(A362&gt;25,X362="1st half Handicap")),OR(AND(BK362&gt;20,U362&lt;T362,E362&gt;45),AND(BK362&lt;-20,U362&gt;T362,E362&lt;55)))),"GOOD","")</f>
        <v/>
      </c>
      <c r="BS362" s="21"/>
    </row>
    <row r="363" spans="1:71" ht="17.25" x14ac:dyDescent="0.3">
      <c r="A363" s="3"/>
      <c r="D363" s="8" t="str">
        <f>IF(ISBLANK(T363),"",CONCATENATE(T363,"-",U363))</f>
        <v/>
      </c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>
        <f>IF(NOT(ISBLANK(G363)),ABS(G363),0)</f>
        <v>0</v>
      </c>
      <c r="BM363">
        <f>IF(NOT(ISBLANK(AK363)),ABS(AK363),0)</f>
        <v>0</v>
      </c>
      <c r="BN363">
        <f>IF(NOT(ISBLANK(AX363)),ABS(AX363),0)</f>
        <v>0</v>
      </c>
      <c r="BO363">
        <f>IF(NOT(ISBLANK(BK363)),ABS(BK363),0)</f>
        <v>0</v>
      </c>
      <c r="BP363">
        <f>IF(ISBLANK(E363),0,ABS(E363-50))</f>
        <v>0</v>
      </c>
      <c r="BQ363" s="21" t="str">
        <f>IF(OR(ISBLANK(V363),ISBLANK(W363)),"",IF(SUM(V363,W363)=0,"",CONCATENATE(V363,"-",W363)))</f>
        <v/>
      </c>
      <c r="BR363" s="21" t="str">
        <f>IF(OR(AND(OR(AND(A363&gt;75,X363="Final Handicap"),AND(A363&gt;25,X363="1st half Handicap")),OR(AND(G363&gt;20,U363&lt;T363,E363&gt;45),AND(G363&lt;-20,U363&gt;T363,E363&lt;55))),AND(AND(A363-Y363&lt;200,A363-Y363&gt;9),OR(AND(A363&gt;75,X363="Final Handicap"),AND(A363&gt;25,X363="1st half Handicap")),OR(AND(AK363&gt;20,U363&lt;T363,E363&gt;45),AND(AK363&lt;-20,U363&gt;T363,E363&lt;55))),AND(AND(A363-AL363&lt;200,A363-AL363&gt;9),OR(AND(A363&gt;75,X363="Final Handicap"),AND(A363&gt;25,X363="1st half Handicap")),OR(AND(AX363&gt;20,U363&lt;T363,E363&gt;45),AND(AX363&lt;-20,U363&gt;T363,E363&lt;55))),AND(AND(A363-AY363&lt;200,A363-AY363&gt;9),OR(AND(A363&gt;75,X363="Final Handicap"),AND(A363&gt;25,X363="1st half Handicap")),OR(AND(BK363&gt;20,U363&lt;T363,E363&gt;45),AND(BK363&lt;-20,U363&gt;T363,E363&lt;55)))),"GOOD","")</f>
        <v/>
      </c>
      <c r="BS363" s="21"/>
    </row>
    <row r="364" spans="1:71" ht="17.25" x14ac:dyDescent="0.3">
      <c r="A364" s="3"/>
      <c r="D364" s="8" t="str">
        <f>IF(ISBLANK(T364),"",CONCATENATE(T364,"-",U364))</f>
        <v/>
      </c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>
        <f>IF(NOT(ISBLANK(G364)),ABS(G364),0)</f>
        <v>0</v>
      </c>
      <c r="BM364">
        <f>IF(NOT(ISBLANK(AK364)),ABS(AK364),0)</f>
        <v>0</v>
      </c>
      <c r="BN364">
        <f>IF(NOT(ISBLANK(AX364)),ABS(AX364),0)</f>
        <v>0</v>
      </c>
      <c r="BO364">
        <f>IF(NOT(ISBLANK(BK364)),ABS(BK364),0)</f>
        <v>0</v>
      </c>
      <c r="BP364">
        <f>IF(ISBLANK(E364),0,ABS(E364-50))</f>
        <v>0</v>
      </c>
      <c r="BQ364" s="21" t="str">
        <f>IF(OR(ISBLANK(V364),ISBLANK(W364)),"",IF(SUM(V364,W364)=0,"",CONCATENATE(V364,"-",W364)))</f>
        <v/>
      </c>
      <c r="BR364" s="21" t="str">
        <f>IF(OR(AND(OR(AND(A364&gt;75,X364="Final Handicap"),AND(A364&gt;25,X364="1st half Handicap")),OR(AND(G364&gt;20,U364&lt;T364,E364&gt;45),AND(G364&lt;-20,U364&gt;T364,E364&lt;55))),AND(AND(A364-Y364&lt;200,A364-Y364&gt;9),OR(AND(A364&gt;75,X364="Final Handicap"),AND(A364&gt;25,X364="1st half Handicap")),OR(AND(AK364&gt;20,U364&lt;T364,E364&gt;45),AND(AK364&lt;-20,U364&gt;T364,E364&lt;55))),AND(AND(A364-AL364&lt;200,A364-AL364&gt;9),OR(AND(A364&gt;75,X364="Final Handicap"),AND(A364&gt;25,X364="1st half Handicap")),OR(AND(AX364&gt;20,U364&lt;T364,E364&gt;45),AND(AX364&lt;-20,U364&gt;T364,E364&lt;55))),AND(AND(A364-AY364&lt;200,A364-AY364&gt;9),OR(AND(A364&gt;75,X364="Final Handicap"),AND(A364&gt;25,X364="1st half Handicap")),OR(AND(BK364&gt;20,U364&lt;T364,E364&gt;45),AND(BK364&lt;-20,U364&gt;T364,E364&lt;55)))),"GOOD","")</f>
        <v/>
      </c>
      <c r="BS364" s="21"/>
    </row>
    <row r="365" spans="1:71" ht="17.25" x14ac:dyDescent="0.3">
      <c r="A365" s="3"/>
      <c r="D365" s="8" t="str">
        <f>IF(ISBLANK(T365),"",CONCATENATE(T365,"-",U365))</f>
        <v/>
      </c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>
        <f>IF(NOT(ISBLANK(G365)),ABS(G365),0)</f>
        <v>0</v>
      </c>
      <c r="BM365">
        <f>IF(NOT(ISBLANK(AK365)),ABS(AK365),0)</f>
        <v>0</v>
      </c>
      <c r="BN365">
        <f>IF(NOT(ISBLANK(AX365)),ABS(AX365),0)</f>
        <v>0</v>
      </c>
      <c r="BO365">
        <f>IF(NOT(ISBLANK(BK365)),ABS(BK365),0)</f>
        <v>0</v>
      </c>
      <c r="BP365">
        <f>IF(ISBLANK(E365),0,ABS(E365-50))</f>
        <v>0</v>
      </c>
      <c r="BQ365" s="21" t="str">
        <f>IF(OR(ISBLANK(V365),ISBLANK(W365)),"",IF(SUM(V365,W365)=0,"",CONCATENATE(V365,"-",W365)))</f>
        <v/>
      </c>
      <c r="BR365" s="21" t="str">
        <f>IF(OR(AND(OR(AND(A365&gt;75,X365="Final Handicap"),AND(A365&gt;25,X365="1st half Handicap")),OR(AND(G365&gt;20,U365&lt;T365,E365&gt;45),AND(G365&lt;-20,U365&gt;T365,E365&lt;55))),AND(AND(A365-Y365&lt;200,A365-Y365&gt;9),OR(AND(A365&gt;75,X365="Final Handicap"),AND(A365&gt;25,X365="1st half Handicap")),OR(AND(AK365&gt;20,U365&lt;T365,E365&gt;45),AND(AK365&lt;-20,U365&gt;T365,E365&lt;55))),AND(AND(A365-AL365&lt;200,A365-AL365&gt;9),OR(AND(A365&gt;75,X365="Final Handicap"),AND(A365&gt;25,X365="1st half Handicap")),OR(AND(AX365&gt;20,U365&lt;T365,E365&gt;45),AND(AX365&lt;-20,U365&gt;T365,E365&lt;55))),AND(AND(A365-AY365&lt;200,A365-AY365&gt;9),OR(AND(A365&gt;75,X365="Final Handicap"),AND(A365&gt;25,X365="1st half Handicap")),OR(AND(BK365&gt;20,U365&lt;T365,E365&gt;45),AND(BK365&lt;-20,U365&gt;T365,E365&lt;55)))),"GOOD","")</f>
        <v/>
      </c>
      <c r="BS365" s="21"/>
    </row>
    <row r="366" spans="1:71" ht="17.25" x14ac:dyDescent="0.3">
      <c r="A366" s="3"/>
      <c r="D366" s="8" t="str">
        <f>IF(ISBLANK(T366),"",CONCATENATE(T366,"-",U366))</f>
        <v/>
      </c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>
        <f>IF(NOT(ISBLANK(G366)),ABS(G366),0)</f>
        <v>0</v>
      </c>
      <c r="BM366">
        <f>IF(NOT(ISBLANK(AK366)),ABS(AK366),0)</f>
        <v>0</v>
      </c>
      <c r="BN366">
        <f>IF(NOT(ISBLANK(AX366)),ABS(AX366),0)</f>
        <v>0</v>
      </c>
      <c r="BO366">
        <f>IF(NOT(ISBLANK(BK366)),ABS(BK366),0)</f>
        <v>0</v>
      </c>
      <c r="BP366">
        <f>IF(ISBLANK(E366),0,ABS(E366-50))</f>
        <v>0</v>
      </c>
      <c r="BQ366" s="21" t="str">
        <f>IF(OR(ISBLANK(V366),ISBLANK(W366)),"",IF(SUM(V366,W366)=0,"",CONCATENATE(V366,"-",W366)))</f>
        <v/>
      </c>
      <c r="BR366" s="21" t="str">
        <f>IF(OR(AND(OR(AND(A366&gt;75,X366="Final Handicap"),AND(A366&gt;25,X366="1st half Handicap")),OR(AND(G366&gt;20,U366&lt;T366,E366&gt;45),AND(G366&lt;-20,U366&gt;T366,E366&lt;55))),AND(AND(A366-Y366&lt;200,A366-Y366&gt;9),OR(AND(A366&gt;75,X366="Final Handicap"),AND(A366&gt;25,X366="1st half Handicap")),OR(AND(AK366&gt;20,U366&lt;T366,E366&gt;45),AND(AK366&lt;-20,U366&gt;T366,E366&lt;55))),AND(AND(A366-AL366&lt;200,A366-AL366&gt;9),OR(AND(A366&gt;75,X366="Final Handicap"),AND(A366&gt;25,X366="1st half Handicap")),OR(AND(AX366&gt;20,U366&lt;T366,E366&gt;45),AND(AX366&lt;-20,U366&gt;T366,E366&lt;55))),AND(AND(A366-AY366&lt;200,A366-AY366&gt;9),OR(AND(A366&gt;75,X366="Final Handicap"),AND(A366&gt;25,X366="1st half Handicap")),OR(AND(BK366&gt;20,U366&lt;T366,E366&gt;45),AND(BK366&lt;-20,U366&gt;T366,E366&lt;55)))),"GOOD","")</f>
        <v/>
      </c>
      <c r="BS366" s="21"/>
    </row>
    <row r="367" spans="1:71" ht="17.25" x14ac:dyDescent="0.3">
      <c r="A367" s="3"/>
      <c r="D367" s="8" t="str">
        <f>IF(ISBLANK(T367),"",CONCATENATE(T367,"-",U367))</f>
        <v/>
      </c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>
        <f>IF(NOT(ISBLANK(G367)),ABS(G367),0)</f>
        <v>0</v>
      </c>
      <c r="BM367">
        <f>IF(NOT(ISBLANK(AK367)),ABS(AK367),0)</f>
        <v>0</v>
      </c>
      <c r="BN367">
        <f>IF(NOT(ISBLANK(AX367)),ABS(AX367),0)</f>
        <v>0</v>
      </c>
      <c r="BO367">
        <f>IF(NOT(ISBLANK(BK367)),ABS(BK367),0)</f>
        <v>0</v>
      </c>
      <c r="BP367">
        <f>IF(ISBLANK(E367),0,ABS(E367-50))</f>
        <v>0</v>
      </c>
      <c r="BQ367" s="21" t="str">
        <f>IF(OR(ISBLANK(V367),ISBLANK(W367)),"",IF(SUM(V367,W367)=0,"",CONCATENATE(V367,"-",W367)))</f>
        <v/>
      </c>
      <c r="BR367" s="21" t="str">
        <f>IF(OR(AND(OR(AND(A367&gt;75,X367="Final Handicap"),AND(A367&gt;25,X367="1st half Handicap")),OR(AND(G367&gt;20,U367&lt;T367,E367&gt;45),AND(G367&lt;-20,U367&gt;T367,E367&lt;55))),AND(AND(A367-Y367&lt;200,A367-Y367&gt;9),OR(AND(A367&gt;75,X367="Final Handicap"),AND(A367&gt;25,X367="1st half Handicap")),OR(AND(AK367&gt;20,U367&lt;T367,E367&gt;45),AND(AK367&lt;-20,U367&gt;T367,E367&lt;55))),AND(AND(A367-AL367&lt;200,A367-AL367&gt;9),OR(AND(A367&gt;75,X367="Final Handicap"),AND(A367&gt;25,X367="1st half Handicap")),OR(AND(AX367&gt;20,U367&lt;T367,E367&gt;45),AND(AX367&lt;-20,U367&gt;T367,E367&lt;55))),AND(AND(A367-AY367&lt;200,A367-AY367&gt;9),OR(AND(A367&gt;75,X367="Final Handicap"),AND(A367&gt;25,X367="1st half Handicap")),OR(AND(BK367&gt;20,U367&lt;T367,E367&gt;45),AND(BK367&lt;-20,U367&gt;T367,E367&lt;55)))),"GOOD","")</f>
        <v/>
      </c>
      <c r="BS367" s="21"/>
    </row>
    <row r="368" spans="1:71" ht="17.25" x14ac:dyDescent="0.3">
      <c r="D368" s="8" t="str">
        <f>IF(ISBLANK(T368),"",CONCATENATE(T368,"-",U368))</f>
        <v/>
      </c>
      <c r="BL368">
        <f>IF(NOT(ISBLANK(G368)),ABS(G368),0)</f>
        <v>0</v>
      </c>
      <c r="BM368">
        <f>IF(NOT(ISBLANK(AK368)),ABS(AK368),0)</f>
        <v>0</v>
      </c>
      <c r="BN368">
        <f>IF(NOT(ISBLANK(AX368)),ABS(AX368),0)</f>
        <v>0</v>
      </c>
      <c r="BO368">
        <f>IF(NOT(ISBLANK(BK368)),ABS(BK368),0)</f>
        <v>0</v>
      </c>
      <c r="BP368">
        <f>IF(ISBLANK(E368),0,ABS(E368-50))</f>
        <v>0</v>
      </c>
      <c r="BQ368" s="21" t="str">
        <f>IF(OR(ISBLANK(V368),ISBLANK(W368)),"",IF(SUM(V368,W368)=0,"",CONCATENATE(V368,"-",W368)))</f>
        <v/>
      </c>
      <c r="BR368" s="21" t="str">
        <f>IF(OR(AND(OR(AND(A368&gt;75,X368="Final Handicap"),AND(A368&gt;25,X368="1st half Handicap")),OR(AND(G368&gt;20,U368&lt;T368,E368&gt;45),AND(G368&lt;-20,U368&gt;T368,E368&lt;55))),AND(AND(A368-Y368&lt;200,A368-Y368&gt;9),OR(AND(A368&gt;75,X368="Final Handicap"),AND(A368&gt;25,X368="1st half Handicap")),OR(AND(AK368&gt;20,U368&lt;T368,E368&gt;45),AND(AK368&lt;-20,U368&gt;T368,E368&lt;55))),AND(AND(A368-AL368&lt;200,A368-AL368&gt;9),OR(AND(A368&gt;75,X368="Final Handicap"),AND(A368&gt;25,X368="1st half Handicap")),OR(AND(AX368&gt;20,U368&lt;T368,E368&gt;45),AND(AX368&lt;-20,U368&gt;T368,E368&lt;55))),AND(AND(A368-AY368&lt;200,A368-AY368&gt;9),OR(AND(A368&gt;75,X368="Final Handicap"),AND(A368&gt;25,X368="1st half Handicap")),OR(AND(BK368&gt;20,U368&lt;T368,E368&gt;45),AND(BK368&lt;-20,U368&gt;T368,E368&lt;55)))),"GOOD","")</f>
        <v/>
      </c>
      <c r="BS368" s="21"/>
    </row>
    <row r="369" spans="4:71" ht="17.25" x14ac:dyDescent="0.3">
      <c r="D369" s="8" t="str">
        <f>IF(ISBLANK(T369),"",CONCATENATE(T369,"-",U369))</f>
        <v/>
      </c>
      <c r="BL369">
        <f>IF(NOT(ISBLANK(G369)),ABS(G369),0)</f>
        <v>0</v>
      </c>
      <c r="BM369">
        <f>IF(NOT(ISBLANK(AK369)),ABS(AK369),0)</f>
        <v>0</v>
      </c>
      <c r="BN369">
        <f>IF(NOT(ISBLANK(AX369)),ABS(AX369),0)</f>
        <v>0</v>
      </c>
      <c r="BO369">
        <f>IF(NOT(ISBLANK(BK369)),ABS(BK369),0)</f>
        <v>0</v>
      </c>
      <c r="BP369">
        <f>IF(ISBLANK(E369),0,ABS(E369-50))</f>
        <v>0</v>
      </c>
      <c r="BQ369" s="21" t="str">
        <f>IF(OR(ISBLANK(V369),ISBLANK(W369)),"",IF(SUM(V369,W369)=0,"",CONCATENATE(V369,"-",W369)))</f>
        <v/>
      </c>
      <c r="BR369" s="21" t="str">
        <f>IF(OR(AND(OR(AND(A369&gt;75,X369="Final Handicap"),AND(A369&gt;25,X369="1st half Handicap")),OR(AND(G369&gt;20,U369&lt;T369,E369&gt;45),AND(G369&lt;-20,U369&gt;T369,E369&lt;55))),AND(AND(A369-Y369&lt;200,A369-Y369&gt;9),OR(AND(A369&gt;75,X369="Final Handicap"),AND(A369&gt;25,X369="1st half Handicap")),OR(AND(AK369&gt;20,U369&lt;T369,E369&gt;45),AND(AK369&lt;-20,U369&gt;T369,E369&lt;55))),AND(AND(A369-AL369&lt;200,A369-AL369&gt;9),OR(AND(A369&gt;75,X369="Final Handicap"),AND(A369&gt;25,X369="1st half Handicap")),OR(AND(AX369&gt;20,U369&lt;T369,E369&gt;45),AND(AX369&lt;-20,U369&gt;T369,E369&lt;55))),AND(AND(A369-AY369&lt;200,A369-AY369&gt;9),OR(AND(A369&gt;75,X369="Final Handicap"),AND(A369&gt;25,X369="1st half Handicap")),OR(AND(BK369&gt;20,U369&lt;T369,E369&gt;45),AND(BK369&lt;-20,U369&gt;T369,E369&lt;55)))),"GOOD","")</f>
        <v/>
      </c>
      <c r="BS369" s="21"/>
    </row>
    <row r="370" spans="4:71" ht="17.25" x14ac:dyDescent="0.3">
      <c r="D370" s="8" t="str">
        <f>IF(ISBLANK(T370),"",CONCATENATE(T370,"-",U370))</f>
        <v/>
      </c>
      <c r="BL370">
        <f>IF(NOT(ISBLANK(G370)),ABS(G370),0)</f>
        <v>0</v>
      </c>
      <c r="BM370">
        <f>IF(NOT(ISBLANK(AK370)),ABS(AK370),0)</f>
        <v>0</v>
      </c>
      <c r="BN370">
        <f>IF(NOT(ISBLANK(AX370)),ABS(AX370),0)</f>
        <v>0</v>
      </c>
      <c r="BO370">
        <f>IF(NOT(ISBLANK(BK370)),ABS(BK370),0)</f>
        <v>0</v>
      </c>
      <c r="BP370">
        <f>IF(ISBLANK(E370),0,ABS(E370-50))</f>
        <v>0</v>
      </c>
      <c r="BQ370" s="21" t="str">
        <f>IF(OR(ISBLANK(V370),ISBLANK(W370)),"",IF(SUM(V370,W370)=0,"",CONCATENATE(V370,"-",W370)))</f>
        <v/>
      </c>
      <c r="BR370" s="21" t="str">
        <f>IF(OR(AND(OR(AND(A370&gt;75,X370="Final Handicap"),AND(A370&gt;25,X370="1st half Handicap")),OR(AND(G370&gt;20,U370&lt;T370,E370&gt;45),AND(G370&lt;-20,U370&gt;T370,E370&lt;55))),AND(AND(A370-Y370&lt;200,A370-Y370&gt;9),OR(AND(A370&gt;75,X370="Final Handicap"),AND(A370&gt;25,X370="1st half Handicap")),OR(AND(AK370&gt;20,U370&lt;T370,E370&gt;45),AND(AK370&lt;-20,U370&gt;T370,E370&lt;55))),AND(AND(A370-AL370&lt;200,A370-AL370&gt;9),OR(AND(A370&gt;75,X370="Final Handicap"),AND(A370&gt;25,X370="1st half Handicap")),OR(AND(AX370&gt;20,U370&lt;T370,E370&gt;45),AND(AX370&lt;-20,U370&gt;T370,E370&lt;55))),AND(AND(A370-AY370&lt;200,A370-AY370&gt;9),OR(AND(A370&gt;75,X370="Final Handicap"),AND(A370&gt;25,X370="1st half Handicap")),OR(AND(BK370&gt;20,U370&lt;T370,E370&gt;45),AND(BK370&lt;-20,U370&gt;T370,E370&lt;55)))),"GOOD","")</f>
        <v/>
      </c>
      <c r="BS370" s="21"/>
    </row>
    <row r="371" spans="4:71" ht="17.25" x14ac:dyDescent="0.3">
      <c r="D371" s="8" t="str">
        <f>IF(ISBLANK(T371),"",CONCATENATE(T371,"-",U371))</f>
        <v/>
      </c>
      <c r="BL371">
        <f>IF(NOT(ISBLANK(G371)),ABS(G371),0)</f>
        <v>0</v>
      </c>
      <c r="BM371">
        <f>IF(NOT(ISBLANK(AK371)),ABS(AK371),0)</f>
        <v>0</v>
      </c>
      <c r="BN371">
        <f>IF(NOT(ISBLANK(AX371)),ABS(AX371),0)</f>
        <v>0</v>
      </c>
      <c r="BO371">
        <f>IF(NOT(ISBLANK(BK371)),ABS(BK371),0)</f>
        <v>0</v>
      </c>
      <c r="BP371">
        <f>IF(ISBLANK(E371),0,ABS(E371-50))</f>
        <v>0</v>
      </c>
      <c r="BQ371" s="21" t="str">
        <f>IF(OR(ISBLANK(V371),ISBLANK(W371)),"",IF(SUM(V371,W371)=0,"",CONCATENATE(V371,"-",W371)))</f>
        <v/>
      </c>
      <c r="BR371" s="21" t="str">
        <f>IF(OR(AND(OR(AND(A371&gt;75,X371="Final Handicap"),AND(A371&gt;25,X371="1st half Handicap")),OR(AND(G371&gt;20,U371&lt;T371,E371&gt;45),AND(G371&lt;-20,U371&gt;T371,E371&lt;55))),AND(AND(A371-Y371&lt;200,A371-Y371&gt;9),OR(AND(A371&gt;75,X371="Final Handicap"),AND(A371&gt;25,X371="1st half Handicap")),OR(AND(AK371&gt;20,U371&lt;T371,E371&gt;45),AND(AK371&lt;-20,U371&gt;T371,E371&lt;55))),AND(AND(A371-AL371&lt;200,A371-AL371&gt;9),OR(AND(A371&gt;75,X371="Final Handicap"),AND(A371&gt;25,X371="1st half Handicap")),OR(AND(AX371&gt;20,U371&lt;T371,E371&gt;45),AND(AX371&lt;-20,U371&gt;T371,E371&lt;55))),AND(AND(A371-AY371&lt;200,A371-AY371&gt;9),OR(AND(A371&gt;75,X371="Final Handicap"),AND(A371&gt;25,X371="1st half Handicap")),OR(AND(BK371&gt;20,U371&lt;T371,E371&gt;45),AND(BK371&lt;-20,U371&gt;T371,E371&lt;55)))),"GOOD","")</f>
        <v/>
      </c>
      <c r="BS371" s="21"/>
    </row>
    <row r="372" spans="4:71" ht="17.25" x14ac:dyDescent="0.3">
      <c r="D372" s="8" t="str">
        <f>IF(ISBLANK(T372),"",CONCATENATE(T372,"-",U372))</f>
        <v/>
      </c>
      <c r="BL372">
        <f>IF(NOT(ISBLANK(G372)),ABS(G372),0)</f>
        <v>0</v>
      </c>
      <c r="BM372">
        <f>IF(NOT(ISBLANK(AK372)),ABS(AK372),0)</f>
        <v>0</v>
      </c>
      <c r="BN372">
        <f>IF(NOT(ISBLANK(AX372)),ABS(AX372),0)</f>
        <v>0</v>
      </c>
      <c r="BO372">
        <f>IF(NOT(ISBLANK(BK372)),ABS(BK372),0)</f>
        <v>0</v>
      </c>
      <c r="BP372">
        <f>IF(ISBLANK(E372),0,ABS(E372-50))</f>
        <v>0</v>
      </c>
      <c r="BQ372" s="21" t="str">
        <f>IF(OR(ISBLANK(V372),ISBLANK(W372)),"",IF(SUM(V372,W372)=0,"",CONCATENATE(V372,"-",W372)))</f>
        <v/>
      </c>
      <c r="BR372" s="21" t="str">
        <f>IF(OR(AND(OR(AND(A372&gt;75,X372="Final Handicap"),AND(A372&gt;25,X372="1st half Handicap")),OR(AND(G372&gt;20,U372&lt;T372,E372&gt;45),AND(G372&lt;-20,U372&gt;T372,E372&lt;55))),AND(AND(A372-Y372&lt;200,A372-Y372&gt;9),OR(AND(A372&gt;75,X372="Final Handicap"),AND(A372&gt;25,X372="1st half Handicap")),OR(AND(AK372&gt;20,U372&lt;T372,E372&gt;45),AND(AK372&lt;-20,U372&gt;T372,E372&lt;55))),AND(AND(A372-AL372&lt;200,A372-AL372&gt;9),OR(AND(A372&gt;75,X372="Final Handicap"),AND(A372&gt;25,X372="1st half Handicap")),OR(AND(AX372&gt;20,U372&lt;T372,E372&gt;45),AND(AX372&lt;-20,U372&gt;T372,E372&lt;55))),AND(AND(A372-AY372&lt;200,A372-AY372&gt;9),OR(AND(A372&gt;75,X372="Final Handicap"),AND(A372&gt;25,X372="1st half Handicap")),OR(AND(BK372&gt;20,U372&lt;T372,E372&gt;45),AND(BK372&lt;-20,U372&gt;T372,E372&lt;55)))),"GOOD","")</f>
        <v/>
      </c>
      <c r="BS372" s="21"/>
    </row>
    <row r="373" spans="4:71" ht="17.25" x14ac:dyDescent="0.3">
      <c r="D373" s="8" t="str">
        <f>IF(ISBLANK(T373),"",CONCATENATE(T373,"-",U373))</f>
        <v/>
      </c>
      <c r="BL373">
        <f>IF(NOT(ISBLANK(G373)),ABS(G373),0)</f>
        <v>0</v>
      </c>
      <c r="BM373">
        <f>IF(NOT(ISBLANK(AK373)),ABS(AK373),0)</f>
        <v>0</v>
      </c>
      <c r="BN373">
        <f>IF(NOT(ISBLANK(AX373)),ABS(AX373),0)</f>
        <v>0</v>
      </c>
      <c r="BO373">
        <f>IF(NOT(ISBLANK(BK373)),ABS(BK373),0)</f>
        <v>0</v>
      </c>
      <c r="BP373">
        <f>IF(ISBLANK(E373),0,ABS(E373-50))</f>
        <v>0</v>
      </c>
      <c r="BQ373" s="21" t="str">
        <f>IF(OR(ISBLANK(V373),ISBLANK(W373)),"",IF(SUM(V373,W373)=0,"",CONCATENATE(V373,"-",W373)))</f>
        <v/>
      </c>
      <c r="BR373" s="21" t="str">
        <f>IF(OR(AND(OR(AND(A373&gt;75,X373="Final Handicap"),AND(A373&gt;25,X373="1st half Handicap")),OR(AND(G373&gt;20,U373&lt;T373,E373&gt;45),AND(G373&lt;-20,U373&gt;T373,E373&lt;55))),AND(AND(A373-Y373&lt;200,A373-Y373&gt;9),OR(AND(A373&gt;75,X373="Final Handicap"),AND(A373&gt;25,X373="1st half Handicap")),OR(AND(AK373&gt;20,U373&lt;T373,E373&gt;45),AND(AK373&lt;-20,U373&gt;T373,E373&lt;55))),AND(AND(A373-AL373&lt;200,A373-AL373&gt;9),OR(AND(A373&gt;75,X373="Final Handicap"),AND(A373&gt;25,X373="1st half Handicap")),OR(AND(AX373&gt;20,U373&lt;T373,E373&gt;45),AND(AX373&lt;-20,U373&gt;T373,E373&lt;55))),AND(AND(A373-AY373&lt;200,A373-AY373&gt;9),OR(AND(A373&gt;75,X373="Final Handicap"),AND(A373&gt;25,X373="1st half Handicap")),OR(AND(BK373&gt;20,U373&lt;T373,E373&gt;45),AND(BK373&lt;-20,U373&gt;T373,E373&lt;55)))),"GOOD","")</f>
        <v/>
      </c>
      <c r="BS373" s="21"/>
    </row>
    <row r="374" spans="4:71" ht="17.25" x14ac:dyDescent="0.3">
      <c r="D374" s="8" t="str">
        <f>IF(ISBLANK(T374),"",CONCATENATE(T374,"-",U374))</f>
        <v/>
      </c>
      <c r="BL374">
        <f>IF(NOT(ISBLANK(G374)),ABS(G374),0)</f>
        <v>0</v>
      </c>
      <c r="BM374">
        <f>IF(NOT(ISBLANK(AK374)),ABS(AK374),0)</f>
        <v>0</v>
      </c>
      <c r="BN374">
        <f>IF(NOT(ISBLANK(AX374)),ABS(AX374),0)</f>
        <v>0</v>
      </c>
      <c r="BO374">
        <f>IF(NOT(ISBLANK(BK374)),ABS(BK374),0)</f>
        <v>0</v>
      </c>
      <c r="BP374">
        <f>IF(ISBLANK(E374),0,ABS(E374-50))</f>
        <v>0</v>
      </c>
      <c r="BQ374" s="21" t="str">
        <f>IF(OR(ISBLANK(V374),ISBLANK(W374)),"",IF(SUM(V374,W374)=0,"",CONCATENATE(V374,"-",W374)))</f>
        <v/>
      </c>
      <c r="BR374" s="21" t="str">
        <f>IF(OR(AND(OR(AND(A374&gt;75,X374="Final Handicap"),AND(A374&gt;25,X374="1st half Handicap")),OR(AND(G374&gt;20,U374&lt;T374,E374&gt;45),AND(G374&lt;-20,U374&gt;T374,E374&lt;55))),AND(AND(A374-Y374&lt;200,A374-Y374&gt;9),OR(AND(A374&gt;75,X374="Final Handicap"),AND(A374&gt;25,X374="1st half Handicap")),OR(AND(AK374&gt;20,U374&lt;T374,E374&gt;45),AND(AK374&lt;-20,U374&gt;T374,E374&lt;55))),AND(AND(A374-AL374&lt;200,A374-AL374&gt;9),OR(AND(A374&gt;75,X374="Final Handicap"),AND(A374&gt;25,X374="1st half Handicap")),OR(AND(AX374&gt;20,U374&lt;T374,E374&gt;45),AND(AX374&lt;-20,U374&gt;T374,E374&lt;55))),AND(AND(A374-AY374&lt;200,A374-AY374&gt;9),OR(AND(A374&gt;75,X374="Final Handicap"),AND(A374&gt;25,X374="1st half Handicap")),OR(AND(BK374&gt;20,U374&lt;T374,E374&gt;45),AND(BK374&lt;-20,U374&gt;T374,E374&lt;55)))),"GOOD","")</f>
        <v/>
      </c>
      <c r="BS374" s="21"/>
    </row>
    <row r="375" spans="4:71" ht="17.25" x14ac:dyDescent="0.3">
      <c r="D375" s="8" t="str">
        <f>IF(ISBLANK(T375),"",CONCATENATE(T375,"-",U375))</f>
        <v/>
      </c>
      <c r="BL375">
        <f>IF(NOT(ISBLANK(G375)),ABS(G375),0)</f>
        <v>0</v>
      </c>
      <c r="BM375">
        <f>IF(NOT(ISBLANK(AK375)),ABS(AK375),0)</f>
        <v>0</v>
      </c>
      <c r="BN375">
        <f>IF(NOT(ISBLANK(AX375)),ABS(AX375),0)</f>
        <v>0</v>
      </c>
      <c r="BO375">
        <f>IF(NOT(ISBLANK(BK375)),ABS(BK375),0)</f>
        <v>0</v>
      </c>
      <c r="BP375">
        <f>IF(ISBLANK(E375),0,ABS(E375-50))</f>
        <v>0</v>
      </c>
      <c r="BQ375" s="21" t="str">
        <f>IF(OR(ISBLANK(V375),ISBLANK(W375)),"",IF(SUM(V375,W375)=0,"",CONCATENATE(V375,"-",W375)))</f>
        <v/>
      </c>
      <c r="BR375" s="21" t="str">
        <f>IF(OR(AND(OR(AND(A375&gt;75,X375="Final Handicap"),AND(A375&gt;25,X375="1st half Handicap")),OR(AND(G375&gt;20,U375&lt;T375,E375&gt;45),AND(G375&lt;-20,U375&gt;T375,E375&lt;55))),AND(AND(A375-Y375&lt;200,A375-Y375&gt;9),OR(AND(A375&gt;75,X375="Final Handicap"),AND(A375&gt;25,X375="1st half Handicap")),OR(AND(AK375&gt;20,U375&lt;T375,E375&gt;45),AND(AK375&lt;-20,U375&gt;T375,E375&lt;55))),AND(AND(A375-AL375&lt;200,A375-AL375&gt;9),OR(AND(A375&gt;75,X375="Final Handicap"),AND(A375&gt;25,X375="1st half Handicap")),OR(AND(AX375&gt;20,U375&lt;T375,E375&gt;45),AND(AX375&lt;-20,U375&gt;T375,E375&lt;55))),AND(AND(A375-AY375&lt;200,A375-AY375&gt;9),OR(AND(A375&gt;75,X375="Final Handicap"),AND(A375&gt;25,X375="1st half Handicap")),OR(AND(BK375&gt;20,U375&lt;T375,E375&gt;45),AND(BK375&lt;-20,U375&gt;T375,E375&lt;55)))),"GOOD","")</f>
        <v/>
      </c>
      <c r="BS375" s="21"/>
    </row>
    <row r="376" spans="4:71" ht="17.25" x14ac:dyDescent="0.3">
      <c r="D376" s="8" t="str">
        <f>IF(ISBLANK(T376),"",CONCATENATE(T376,"-",U376))</f>
        <v/>
      </c>
      <c r="BL376">
        <f>IF(NOT(ISBLANK(G376)),ABS(G376),0)</f>
        <v>0</v>
      </c>
      <c r="BM376">
        <f>IF(NOT(ISBLANK(AK376)),ABS(AK376),0)</f>
        <v>0</v>
      </c>
      <c r="BN376">
        <f>IF(NOT(ISBLANK(AX376)),ABS(AX376),0)</f>
        <v>0</v>
      </c>
      <c r="BO376">
        <f>IF(NOT(ISBLANK(BK376)),ABS(BK376),0)</f>
        <v>0</v>
      </c>
      <c r="BP376">
        <f>IF(ISBLANK(E376),0,ABS(E376-50))</f>
        <v>0</v>
      </c>
      <c r="BQ376" s="21" t="str">
        <f>IF(OR(ISBLANK(V376),ISBLANK(W376)),"",IF(SUM(V376,W376)=0,"",CONCATENATE(V376,"-",W376)))</f>
        <v/>
      </c>
      <c r="BR376" s="21" t="str">
        <f>IF(OR(AND(OR(AND(A376&gt;75,X376="Final Handicap"),AND(A376&gt;25,X376="1st half Handicap")),OR(AND(G376&gt;20,U376&lt;T376,E376&gt;45),AND(G376&lt;-20,U376&gt;T376,E376&lt;55))),AND(AND(A376-Y376&lt;200,A376-Y376&gt;9),OR(AND(A376&gt;75,X376="Final Handicap"),AND(A376&gt;25,X376="1st half Handicap")),OR(AND(AK376&gt;20,U376&lt;T376,E376&gt;45),AND(AK376&lt;-20,U376&gt;T376,E376&lt;55))),AND(AND(A376-AL376&lt;200,A376-AL376&gt;9),OR(AND(A376&gt;75,X376="Final Handicap"),AND(A376&gt;25,X376="1st half Handicap")),OR(AND(AX376&gt;20,U376&lt;T376,E376&gt;45),AND(AX376&lt;-20,U376&gt;T376,E376&lt;55))),AND(AND(A376-AY376&lt;200,A376-AY376&gt;9),OR(AND(A376&gt;75,X376="Final Handicap"),AND(A376&gt;25,X376="1st half Handicap")),OR(AND(BK376&gt;20,U376&lt;T376,E376&gt;45),AND(BK376&lt;-20,U376&gt;T376,E376&lt;55)))),"GOOD","")</f>
        <v/>
      </c>
      <c r="BS376" s="21"/>
    </row>
    <row r="377" spans="4:71" ht="17.25" x14ac:dyDescent="0.3">
      <c r="D377" s="8" t="str">
        <f>IF(ISBLANK(T377),"",CONCATENATE(T377,"-",U377))</f>
        <v/>
      </c>
      <c r="BL377">
        <f>IF(NOT(ISBLANK(G377)),ABS(G377),0)</f>
        <v>0</v>
      </c>
      <c r="BM377">
        <f>IF(NOT(ISBLANK(AK377)),ABS(AK377),0)</f>
        <v>0</v>
      </c>
      <c r="BN377">
        <f>IF(NOT(ISBLANK(AX377)),ABS(AX377),0)</f>
        <v>0</v>
      </c>
      <c r="BO377">
        <f>IF(NOT(ISBLANK(BK377)),ABS(BK377),0)</f>
        <v>0</v>
      </c>
      <c r="BP377">
        <f>IF(ISBLANK(E377),0,ABS(E377-50))</f>
        <v>0</v>
      </c>
      <c r="BQ377" s="21" t="str">
        <f>IF(OR(ISBLANK(V377),ISBLANK(W377)),"",IF(SUM(V377,W377)=0,"",CONCATENATE(V377,"-",W377)))</f>
        <v/>
      </c>
      <c r="BR377" s="21" t="str">
        <f>IF(OR(AND(OR(AND(A377&gt;75,X377="Final Handicap"),AND(A377&gt;25,X377="1st half Handicap")),OR(AND(G377&gt;20,U377&lt;T377,E377&gt;45),AND(G377&lt;-20,U377&gt;T377,E377&lt;55))),AND(AND(A377-Y377&lt;200,A377-Y377&gt;9),OR(AND(A377&gt;75,X377="Final Handicap"),AND(A377&gt;25,X377="1st half Handicap")),OR(AND(AK377&gt;20,U377&lt;T377,E377&gt;45),AND(AK377&lt;-20,U377&gt;T377,E377&lt;55))),AND(AND(A377-AL377&lt;200,A377-AL377&gt;9),OR(AND(A377&gt;75,X377="Final Handicap"),AND(A377&gt;25,X377="1st half Handicap")),OR(AND(AX377&gt;20,U377&lt;T377,E377&gt;45),AND(AX377&lt;-20,U377&gt;T377,E377&lt;55))),AND(AND(A377-AY377&lt;200,A377-AY377&gt;9),OR(AND(A377&gt;75,X377="Final Handicap"),AND(A377&gt;25,X377="1st half Handicap")),OR(AND(BK377&gt;20,U377&lt;T377,E377&gt;45),AND(BK377&lt;-20,U377&gt;T377,E377&lt;55)))),"GOOD","")</f>
        <v/>
      </c>
      <c r="BS377" s="21"/>
    </row>
    <row r="378" spans="4:71" ht="17.25" x14ac:dyDescent="0.3">
      <c r="D378" s="8" t="str">
        <f>IF(ISBLANK(T378),"",CONCATENATE(T378,"-",U378))</f>
        <v/>
      </c>
      <c r="BL378">
        <f>IF(NOT(ISBLANK(G378)),ABS(G378),0)</f>
        <v>0</v>
      </c>
      <c r="BM378">
        <f>IF(NOT(ISBLANK(AK378)),ABS(AK378),0)</f>
        <v>0</v>
      </c>
      <c r="BN378">
        <f>IF(NOT(ISBLANK(AX378)),ABS(AX378),0)</f>
        <v>0</v>
      </c>
      <c r="BO378">
        <f>IF(NOT(ISBLANK(BK378)),ABS(BK378),0)</f>
        <v>0</v>
      </c>
      <c r="BP378">
        <f>IF(ISBLANK(E378),0,ABS(E378-50))</f>
        <v>0</v>
      </c>
      <c r="BQ378" s="21" t="str">
        <f>IF(OR(ISBLANK(V378),ISBLANK(W378)),"",IF(SUM(V378,W378)=0,"",CONCATENATE(V378,"-",W378)))</f>
        <v/>
      </c>
      <c r="BR378" s="21" t="str">
        <f>IF(OR(AND(OR(AND(A378&gt;75,X378="Final Handicap"),AND(A378&gt;25,X378="1st half Handicap")),OR(AND(G378&gt;20,U378&lt;T378,E378&gt;45),AND(G378&lt;-20,U378&gt;T378,E378&lt;55))),AND(AND(A378-Y378&lt;200,A378-Y378&gt;9),OR(AND(A378&gt;75,X378="Final Handicap"),AND(A378&gt;25,X378="1st half Handicap")),OR(AND(AK378&gt;20,U378&lt;T378,E378&gt;45),AND(AK378&lt;-20,U378&gt;T378,E378&lt;55))),AND(AND(A378-AL378&lt;200,A378-AL378&gt;9),OR(AND(A378&gt;75,X378="Final Handicap"),AND(A378&gt;25,X378="1st half Handicap")),OR(AND(AX378&gt;20,U378&lt;T378,E378&gt;45),AND(AX378&lt;-20,U378&gt;T378,E378&lt;55))),AND(AND(A378-AY378&lt;200,A378-AY378&gt;9),OR(AND(A378&gt;75,X378="Final Handicap"),AND(A378&gt;25,X378="1st half Handicap")),OR(AND(BK378&gt;20,U378&lt;T378,E378&gt;45),AND(BK378&lt;-20,U378&gt;T378,E378&lt;55)))),"GOOD","")</f>
        <v/>
      </c>
      <c r="BS378" s="21"/>
    </row>
    <row r="379" spans="4:71" ht="17.25" x14ac:dyDescent="0.3">
      <c r="D379" s="8" t="str">
        <f>IF(ISBLANK(T379),"",CONCATENATE(T379,"-",U379))</f>
        <v/>
      </c>
      <c r="BL379">
        <f>IF(NOT(ISBLANK(G379)),ABS(G379),0)</f>
        <v>0</v>
      </c>
      <c r="BM379">
        <f>IF(NOT(ISBLANK(AK379)),ABS(AK379),0)</f>
        <v>0</v>
      </c>
      <c r="BN379">
        <f>IF(NOT(ISBLANK(AX379)),ABS(AX379),0)</f>
        <v>0</v>
      </c>
      <c r="BO379">
        <f>IF(NOT(ISBLANK(BK379)),ABS(BK379),0)</f>
        <v>0</v>
      </c>
      <c r="BP379">
        <f>IF(ISBLANK(E379),0,ABS(E379-50))</f>
        <v>0</v>
      </c>
      <c r="BQ379" s="21" t="str">
        <f>IF(OR(ISBLANK(V379),ISBLANK(W379)),"",IF(SUM(V379,W379)=0,"",CONCATENATE(V379,"-",W379)))</f>
        <v/>
      </c>
      <c r="BR379" s="21" t="str">
        <f>IF(OR(AND(OR(AND(A379&gt;75,X379="Final Handicap"),AND(A379&gt;25,X379="1st half Handicap")),OR(AND(G379&gt;20,U379&lt;T379,E379&gt;45),AND(G379&lt;-20,U379&gt;T379,E379&lt;55))),AND(AND(A379-Y379&lt;200,A379-Y379&gt;9),OR(AND(A379&gt;75,X379="Final Handicap"),AND(A379&gt;25,X379="1st half Handicap")),OR(AND(AK379&gt;20,U379&lt;T379,E379&gt;45),AND(AK379&lt;-20,U379&gt;T379,E379&lt;55))),AND(AND(A379-AL379&lt;200,A379-AL379&gt;9),OR(AND(A379&gt;75,X379="Final Handicap"),AND(A379&gt;25,X379="1st half Handicap")),OR(AND(AX379&gt;20,U379&lt;T379,E379&gt;45),AND(AX379&lt;-20,U379&gt;T379,E379&lt;55))),AND(AND(A379-AY379&lt;200,A379-AY379&gt;9),OR(AND(A379&gt;75,X379="Final Handicap"),AND(A379&gt;25,X379="1st half Handicap")),OR(AND(BK379&gt;20,U379&lt;T379,E379&gt;45),AND(BK379&lt;-20,U379&gt;T379,E379&lt;55)))),"GOOD","")</f>
        <v/>
      </c>
      <c r="BS379" s="21"/>
    </row>
    <row r="380" spans="4:71" ht="17.25" x14ac:dyDescent="0.3">
      <c r="D380" s="8" t="str">
        <f>IF(ISBLANK(T380),"",CONCATENATE(T380,"-",U380))</f>
        <v/>
      </c>
      <c r="BL380">
        <f>IF(NOT(ISBLANK(G380)),ABS(G380),0)</f>
        <v>0</v>
      </c>
      <c r="BM380">
        <f>IF(NOT(ISBLANK(AK380)),ABS(AK380),0)</f>
        <v>0</v>
      </c>
      <c r="BN380">
        <f>IF(NOT(ISBLANK(AX380)),ABS(AX380),0)</f>
        <v>0</v>
      </c>
      <c r="BO380">
        <f>IF(NOT(ISBLANK(BK380)),ABS(BK380),0)</f>
        <v>0</v>
      </c>
      <c r="BP380">
        <f>IF(ISBLANK(E380),0,ABS(E380-50))</f>
        <v>0</v>
      </c>
      <c r="BQ380" s="21" t="str">
        <f>IF(OR(ISBLANK(V380),ISBLANK(W380)),"",IF(SUM(V380,W380)=0,"",CONCATENATE(V380,"-",W380)))</f>
        <v/>
      </c>
      <c r="BR380" s="21" t="str">
        <f>IF(OR(AND(OR(AND(A380&gt;75,X380="Final Handicap"),AND(A380&gt;25,X380="1st half Handicap")),OR(AND(G380&gt;20,U380&lt;T380,E380&gt;45),AND(G380&lt;-20,U380&gt;T380,E380&lt;55))),AND(AND(A380-Y380&lt;200,A380-Y380&gt;9),OR(AND(A380&gt;75,X380="Final Handicap"),AND(A380&gt;25,X380="1st half Handicap")),OR(AND(AK380&gt;20,U380&lt;T380,E380&gt;45),AND(AK380&lt;-20,U380&gt;T380,E380&lt;55))),AND(AND(A380-AL380&lt;200,A380-AL380&gt;9),OR(AND(A380&gt;75,X380="Final Handicap"),AND(A380&gt;25,X380="1st half Handicap")),OR(AND(AX380&gt;20,U380&lt;T380,E380&gt;45),AND(AX380&lt;-20,U380&gt;T380,E380&lt;55))),AND(AND(A380-AY380&lt;200,A380-AY380&gt;9),OR(AND(A380&gt;75,X380="Final Handicap"),AND(A380&gt;25,X380="1st half Handicap")),OR(AND(BK380&gt;20,U380&lt;T380,E380&gt;45),AND(BK380&lt;-20,U380&gt;T380,E380&lt;55)))),"GOOD","")</f>
        <v/>
      </c>
      <c r="BS380" s="21"/>
    </row>
    <row r="381" spans="4:71" ht="17.25" x14ac:dyDescent="0.3">
      <c r="D381" s="8" t="str">
        <f>IF(ISBLANK(T381),"",CONCATENATE(T381,"-",U381))</f>
        <v/>
      </c>
      <c r="BL381">
        <f>IF(NOT(ISBLANK(G381)),ABS(G381),0)</f>
        <v>0</v>
      </c>
      <c r="BM381">
        <f>IF(NOT(ISBLANK(AK381)),ABS(AK381),0)</f>
        <v>0</v>
      </c>
      <c r="BN381">
        <f>IF(NOT(ISBLANK(AX381)),ABS(AX381),0)</f>
        <v>0</v>
      </c>
      <c r="BO381">
        <f>IF(NOT(ISBLANK(BK381)),ABS(BK381),0)</f>
        <v>0</v>
      </c>
      <c r="BP381">
        <f>IF(ISBLANK(E381),0,ABS(E381-50))</f>
        <v>0</v>
      </c>
      <c r="BQ381" s="21" t="str">
        <f>IF(OR(ISBLANK(V381),ISBLANK(W381)),"",IF(SUM(V381,W381)=0,"",CONCATENATE(V381,"-",W381)))</f>
        <v/>
      </c>
      <c r="BR381" s="21" t="str">
        <f>IF(OR(AND(OR(AND(A381&gt;75,X381="Final Handicap"),AND(A381&gt;25,X381="1st half Handicap")),OR(AND(G381&gt;20,U381&lt;T381,E381&gt;45),AND(G381&lt;-20,U381&gt;T381,E381&lt;55))),AND(AND(A381-Y381&lt;200,A381-Y381&gt;9),OR(AND(A381&gt;75,X381="Final Handicap"),AND(A381&gt;25,X381="1st half Handicap")),OR(AND(AK381&gt;20,U381&lt;T381,E381&gt;45),AND(AK381&lt;-20,U381&gt;T381,E381&lt;55))),AND(AND(A381-AL381&lt;200,A381-AL381&gt;9),OR(AND(A381&gt;75,X381="Final Handicap"),AND(A381&gt;25,X381="1st half Handicap")),OR(AND(AX381&gt;20,U381&lt;T381,E381&gt;45),AND(AX381&lt;-20,U381&gt;T381,E381&lt;55))),AND(AND(A381-AY381&lt;200,A381-AY381&gt;9),OR(AND(A381&gt;75,X381="Final Handicap"),AND(A381&gt;25,X381="1st half Handicap")),OR(AND(BK381&gt;20,U381&lt;T381,E381&gt;45),AND(BK381&lt;-20,U381&gt;T381,E381&lt;55)))),"GOOD","")</f>
        <v/>
      </c>
      <c r="BS381" s="21"/>
    </row>
    <row r="382" spans="4:71" ht="17.25" x14ac:dyDescent="0.3">
      <c r="D382" s="8" t="str">
        <f>IF(ISBLANK(T382),"",CONCATENATE(T382,"-",U382))</f>
        <v/>
      </c>
      <c r="BL382">
        <f>IF(NOT(ISBLANK(G382)),ABS(G382),0)</f>
        <v>0</v>
      </c>
      <c r="BM382">
        <f>IF(NOT(ISBLANK(AK382)),ABS(AK382),0)</f>
        <v>0</v>
      </c>
      <c r="BN382">
        <f>IF(NOT(ISBLANK(AX382)),ABS(AX382),0)</f>
        <v>0</v>
      </c>
      <c r="BO382">
        <f>IF(NOT(ISBLANK(BK382)),ABS(BK382),0)</f>
        <v>0</v>
      </c>
      <c r="BP382">
        <f>IF(ISBLANK(E382),0,ABS(E382-50))</f>
        <v>0</v>
      </c>
      <c r="BQ382" s="21" t="str">
        <f>IF(OR(ISBLANK(V382),ISBLANK(W382)),"",IF(SUM(V382,W382)=0,"",CONCATENATE(V382,"-",W382)))</f>
        <v/>
      </c>
      <c r="BR382" s="21" t="str">
        <f>IF(OR(AND(OR(AND(A382&gt;75,X382="Final Handicap"),AND(A382&gt;25,X382="1st half Handicap")),OR(AND(G382&gt;20,U382&lt;T382,E382&gt;45),AND(G382&lt;-20,U382&gt;T382,E382&lt;55))),AND(AND(A382-Y382&lt;200,A382-Y382&gt;9),OR(AND(A382&gt;75,X382="Final Handicap"),AND(A382&gt;25,X382="1st half Handicap")),OR(AND(AK382&gt;20,U382&lt;T382,E382&gt;45),AND(AK382&lt;-20,U382&gt;T382,E382&lt;55))),AND(AND(A382-AL382&lt;200,A382-AL382&gt;9),OR(AND(A382&gt;75,X382="Final Handicap"),AND(A382&gt;25,X382="1st half Handicap")),OR(AND(AX382&gt;20,U382&lt;T382,E382&gt;45),AND(AX382&lt;-20,U382&gt;T382,E382&lt;55))),AND(AND(A382-AY382&lt;200,A382-AY382&gt;9),OR(AND(A382&gt;75,X382="Final Handicap"),AND(A382&gt;25,X382="1st half Handicap")),OR(AND(BK382&gt;20,U382&lt;T382,E382&gt;45),AND(BK382&lt;-20,U382&gt;T382,E382&lt;55)))),"GOOD","")</f>
        <v/>
      </c>
      <c r="BS382" s="21"/>
    </row>
    <row r="383" spans="4:71" ht="17.25" x14ac:dyDescent="0.3">
      <c r="D383" s="8" t="str">
        <f>IF(ISBLANK(T383),"",CONCATENATE(T383,"-",U383))</f>
        <v/>
      </c>
      <c r="BL383">
        <f>IF(NOT(ISBLANK(G383)),ABS(G383),0)</f>
        <v>0</v>
      </c>
      <c r="BM383">
        <f>IF(NOT(ISBLANK(AK383)),ABS(AK383),0)</f>
        <v>0</v>
      </c>
      <c r="BN383">
        <f>IF(NOT(ISBLANK(AX383)),ABS(AX383),0)</f>
        <v>0</v>
      </c>
      <c r="BO383">
        <f>IF(NOT(ISBLANK(BK383)),ABS(BK383),0)</f>
        <v>0</v>
      </c>
      <c r="BP383">
        <f>IF(ISBLANK(E383),0,ABS(E383-50))</f>
        <v>0</v>
      </c>
      <c r="BQ383" s="21" t="str">
        <f>IF(OR(ISBLANK(V383),ISBLANK(W383)),"",IF(SUM(V383,W383)=0,"",CONCATENATE(V383,"-",W383)))</f>
        <v/>
      </c>
      <c r="BR383" s="21" t="str">
        <f>IF(OR(AND(OR(AND(A383&gt;75,X383="Final Handicap"),AND(A383&gt;25,X383="1st half Handicap")),OR(AND(G383&gt;20,U383&lt;T383,E383&gt;45),AND(G383&lt;-20,U383&gt;T383,E383&lt;55))),AND(AND(A383-Y383&lt;200,A383-Y383&gt;9),OR(AND(A383&gt;75,X383="Final Handicap"),AND(A383&gt;25,X383="1st half Handicap")),OR(AND(AK383&gt;20,U383&lt;T383,E383&gt;45),AND(AK383&lt;-20,U383&gt;T383,E383&lt;55))),AND(AND(A383-AL383&lt;200,A383-AL383&gt;9),OR(AND(A383&gt;75,X383="Final Handicap"),AND(A383&gt;25,X383="1st half Handicap")),OR(AND(AX383&gt;20,U383&lt;T383,E383&gt;45),AND(AX383&lt;-20,U383&gt;T383,E383&lt;55))),AND(AND(A383-AY383&lt;200,A383-AY383&gt;9),OR(AND(A383&gt;75,X383="Final Handicap"),AND(A383&gt;25,X383="1st half Handicap")),OR(AND(BK383&gt;20,U383&lt;T383,E383&gt;45),AND(BK383&lt;-20,U383&gt;T383,E383&lt;55)))),"GOOD","")</f>
        <v/>
      </c>
      <c r="BS383" s="21"/>
    </row>
    <row r="384" spans="4:71" ht="17.25" x14ac:dyDescent="0.3">
      <c r="D384" s="8" t="str">
        <f>IF(ISBLANK(T384),"",CONCATENATE(T384,"-",U384))</f>
        <v/>
      </c>
      <c r="BL384">
        <f>IF(NOT(ISBLANK(G384)),ABS(G384),0)</f>
        <v>0</v>
      </c>
      <c r="BM384">
        <f>IF(NOT(ISBLANK(AK384)),ABS(AK384),0)</f>
        <v>0</v>
      </c>
      <c r="BN384">
        <f>IF(NOT(ISBLANK(AX384)),ABS(AX384),0)</f>
        <v>0</v>
      </c>
      <c r="BO384">
        <f>IF(NOT(ISBLANK(BK384)),ABS(BK384),0)</f>
        <v>0</v>
      </c>
      <c r="BP384">
        <f>IF(ISBLANK(E384),0,ABS(E384-50))</f>
        <v>0</v>
      </c>
      <c r="BQ384" s="21" t="str">
        <f>IF(OR(ISBLANK(V384),ISBLANK(W384)),"",IF(SUM(V384,W384)=0,"",CONCATENATE(V384,"-",W384)))</f>
        <v/>
      </c>
      <c r="BR384" s="21" t="str">
        <f>IF(OR(AND(OR(AND(A384&gt;75,X384="Final Handicap"),AND(A384&gt;25,X384="1st half Handicap")),OR(AND(G384&gt;20,U384&lt;T384,E384&gt;45),AND(G384&lt;-20,U384&gt;T384,E384&lt;55))),AND(AND(A384-Y384&lt;200,A384-Y384&gt;9),OR(AND(A384&gt;75,X384="Final Handicap"),AND(A384&gt;25,X384="1st half Handicap")),OR(AND(AK384&gt;20,U384&lt;T384,E384&gt;45),AND(AK384&lt;-20,U384&gt;T384,E384&lt;55))),AND(AND(A384-AL384&lt;200,A384-AL384&gt;9),OR(AND(A384&gt;75,X384="Final Handicap"),AND(A384&gt;25,X384="1st half Handicap")),OR(AND(AX384&gt;20,U384&lt;T384,E384&gt;45),AND(AX384&lt;-20,U384&gt;T384,E384&lt;55))),AND(AND(A384-AY384&lt;200,A384-AY384&gt;9),OR(AND(A384&gt;75,X384="Final Handicap"),AND(A384&gt;25,X384="1st half Handicap")),OR(AND(BK384&gt;20,U384&lt;T384,E384&gt;45),AND(BK384&lt;-20,U384&gt;T384,E384&lt;55)))),"GOOD","")</f>
        <v/>
      </c>
      <c r="BS384" s="21"/>
    </row>
    <row r="385" spans="4:71" ht="17.25" x14ac:dyDescent="0.3">
      <c r="D385" s="8" t="str">
        <f>IF(ISBLANK(T385),"",CONCATENATE(T385,"-",U385))</f>
        <v/>
      </c>
      <c r="BL385">
        <f>IF(NOT(ISBLANK(G385)),ABS(G385),0)</f>
        <v>0</v>
      </c>
      <c r="BM385">
        <f>IF(NOT(ISBLANK(AK385)),ABS(AK385),0)</f>
        <v>0</v>
      </c>
      <c r="BN385">
        <f>IF(NOT(ISBLANK(AX385)),ABS(AX385),0)</f>
        <v>0</v>
      </c>
      <c r="BO385">
        <f>IF(NOT(ISBLANK(BK385)),ABS(BK385),0)</f>
        <v>0</v>
      </c>
      <c r="BP385">
        <f>IF(ISBLANK(E385),0,ABS(E385-50))</f>
        <v>0</v>
      </c>
      <c r="BQ385" s="21" t="str">
        <f>IF(OR(ISBLANK(V385),ISBLANK(W385)),"",IF(SUM(V385,W385)=0,"",CONCATENATE(V385,"-",W385)))</f>
        <v/>
      </c>
      <c r="BR385" s="21" t="str">
        <f>IF(OR(AND(OR(AND(A385&gt;75,X385="Final Handicap"),AND(A385&gt;25,X385="1st half Handicap")),OR(AND(G385&gt;20,U385&lt;T385,E385&gt;45),AND(G385&lt;-20,U385&gt;T385,E385&lt;55))),AND(AND(A385-Y385&lt;200,A385-Y385&gt;9),OR(AND(A385&gt;75,X385="Final Handicap"),AND(A385&gt;25,X385="1st half Handicap")),OR(AND(AK385&gt;20,U385&lt;T385,E385&gt;45),AND(AK385&lt;-20,U385&gt;T385,E385&lt;55))),AND(AND(A385-AL385&lt;200,A385-AL385&gt;9),OR(AND(A385&gt;75,X385="Final Handicap"),AND(A385&gt;25,X385="1st half Handicap")),OR(AND(AX385&gt;20,U385&lt;T385,E385&gt;45),AND(AX385&lt;-20,U385&gt;T385,E385&lt;55))),AND(AND(A385-AY385&lt;200,A385-AY385&gt;9),OR(AND(A385&gt;75,X385="Final Handicap"),AND(A385&gt;25,X385="1st half Handicap")),OR(AND(BK385&gt;20,U385&lt;T385,E385&gt;45),AND(BK385&lt;-20,U385&gt;T385,E385&lt;55)))),"GOOD","")</f>
        <v/>
      </c>
      <c r="BS385" s="21"/>
    </row>
    <row r="386" spans="4:71" ht="17.25" x14ac:dyDescent="0.3">
      <c r="D386" s="8" t="str">
        <f>IF(ISBLANK(T386),"",CONCATENATE(T386,"-",U386))</f>
        <v/>
      </c>
      <c r="BL386">
        <f>IF(NOT(ISBLANK(G386)),ABS(G386),0)</f>
        <v>0</v>
      </c>
      <c r="BM386">
        <f>IF(NOT(ISBLANK(AK386)),ABS(AK386),0)</f>
        <v>0</v>
      </c>
      <c r="BN386">
        <f>IF(NOT(ISBLANK(AX386)),ABS(AX386),0)</f>
        <v>0</v>
      </c>
      <c r="BO386">
        <f>IF(NOT(ISBLANK(BK386)),ABS(BK386),0)</f>
        <v>0</v>
      </c>
      <c r="BP386">
        <f>IF(ISBLANK(E386),0,ABS(E386-50))</f>
        <v>0</v>
      </c>
      <c r="BQ386" s="21" t="str">
        <f>IF(OR(ISBLANK(V386),ISBLANK(W386)),"",IF(SUM(V386,W386)=0,"",CONCATENATE(V386,"-",W386)))</f>
        <v/>
      </c>
      <c r="BR386" s="21" t="str">
        <f>IF(OR(AND(OR(AND(A386&gt;75,X386="Final Handicap"),AND(A386&gt;25,X386="1st half Handicap")),OR(AND(G386&gt;20,U386&lt;T386,E386&gt;45),AND(G386&lt;-20,U386&gt;T386,E386&lt;55))),AND(AND(A386-Y386&lt;200,A386-Y386&gt;9),OR(AND(A386&gt;75,X386="Final Handicap"),AND(A386&gt;25,X386="1st half Handicap")),OR(AND(AK386&gt;20,U386&lt;T386,E386&gt;45),AND(AK386&lt;-20,U386&gt;T386,E386&lt;55))),AND(AND(A386-AL386&lt;200,A386-AL386&gt;9),OR(AND(A386&gt;75,X386="Final Handicap"),AND(A386&gt;25,X386="1st half Handicap")),OR(AND(AX386&gt;20,U386&lt;T386,E386&gt;45),AND(AX386&lt;-20,U386&gt;T386,E386&lt;55))),AND(AND(A386-AY386&lt;200,A386-AY386&gt;9),OR(AND(A386&gt;75,X386="Final Handicap"),AND(A386&gt;25,X386="1st half Handicap")),OR(AND(BK386&gt;20,U386&lt;T386,E386&gt;45),AND(BK386&lt;-20,U386&gt;T386,E386&lt;55)))),"GOOD","")</f>
        <v/>
      </c>
      <c r="BS386" s="21"/>
    </row>
    <row r="387" spans="4:71" ht="17.25" x14ac:dyDescent="0.3">
      <c r="D387" s="8" t="str">
        <f>IF(ISBLANK(T387),"",CONCATENATE(T387,"-",U387))</f>
        <v/>
      </c>
      <c r="BL387">
        <f>IF(NOT(ISBLANK(G387)),ABS(G387),0)</f>
        <v>0</v>
      </c>
      <c r="BM387">
        <f>IF(NOT(ISBLANK(AK387)),ABS(AK387),0)</f>
        <v>0</v>
      </c>
      <c r="BN387">
        <f>IF(NOT(ISBLANK(AX387)),ABS(AX387),0)</f>
        <v>0</v>
      </c>
      <c r="BO387">
        <f>IF(NOT(ISBLANK(BK387)),ABS(BK387),0)</f>
        <v>0</v>
      </c>
      <c r="BP387">
        <f>IF(ISBLANK(E387),0,ABS(E387-50))</f>
        <v>0</v>
      </c>
      <c r="BQ387" s="21" t="str">
        <f>IF(OR(ISBLANK(V387),ISBLANK(W387)),"",IF(SUM(V387,W387)=0,"",CONCATENATE(V387,"-",W387)))</f>
        <v/>
      </c>
      <c r="BR387" s="21" t="str">
        <f>IF(OR(AND(OR(AND(A387&gt;75,X387="Final Handicap"),AND(A387&gt;25,X387="1st half Handicap")),OR(AND(G387&gt;20,U387&lt;T387,E387&gt;45),AND(G387&lt;-20,U387&gt;T387,E387&lt;55))),AND(AND(A387-Y387&lt;200,A387-Y387&gt;9),OR(AND(A387&gt;75,X387="Final Handicap"),AND(A387&gt;25,X387="1st half Handicap")),OR(AND(AK387&gt;20,U387&lt;T387,E387&gt;45),AND(AK387&lt;-20,U387&gt;T387,E387&lt;55))),AND(AND(A387-AL387&lt;200,A387-AL387&gt;9),OR(AND(A387&gt;75,X387="Final Handicap"),AND(A387&gt;25,X387="1st half Handicap")),OR(AND(AX387&gt;20,U387&lt;T387,E387&gt;45),AND(AX387&lt;-20,U387&gt;T387,E387&lt;55))),AND(AND(A387-AY387&lt;200,A387-AY387&gt;9),OR(AND(A387&gt;75,X387="Final Handicap"),AND(A387&gt;25,X387="1st half Handicap")),OR(AND(BK387&gt;20,U387&lt;T387,E387&gt;45),AND(BK387&lt;-20,U387&gt;T387,E387&lt;55)))),"GOOD","")</f>
        <v/>
      </c>
      <c r="BS387" s="21"/>
    </row>
    <row r="388" spans="4:71" ht="17.25" x14ac:dyDescent="0.3">
      <c r="D388" s="8" t="str">
        <f>IF(ISBLANK(T388),"",CONCATENATE(T388,"-",U388))</f>
        <v/>
      </c>
      <c r="BL388">
        <f>IF(NOT(ISBLANK(G388)),ABS(G388),0)</f>
        <v>0</v>
      </c>
      <c r="BM388">
        <f>IF(NOT(ISBLANK(AK388)),ABS(AK388),0)</f>
        <v>0</v>
      </c>
      <c r="BN388">
        <f>IF(NOT(ISBLANK(AX388)),ABS(AX388),0)</f>
        <v>0</v>
      </c>
      <c r="BO388">
        <f>IF(NOT(ISBLANK(BK388)),ABS(BK388),0)</f>
        <v>0</v>
      </c>
      <c r="BP388">
        <f>IF(ISBLANK(E388),0,ABS(E388-50))</f>
        <v>0</v>
      </c>
      <c r="BQ388" s="21" t="str">
        <f>IF(OR(ISBLANK(V388),ISBLANK(W388)),"",IF(SUM(V388,W388)=0,"",CONCATENATE(V388,"-",W388)))</f>
        <v/>
      </c>
      <c r="BR388" s="21" t="str">
        <f>IF(OR(AND(OR(AND(A388&gt;75,X388="Final Handicap"),AND(A388&gt;25,X388="1st half Handicap")),OR(AND(G388&gt;20,U388&lt;T388,E388&gt;45),AND(G388&lt;-20,U388&gt;T388,E388&lt;55))),AND(AND(A388-Y388&lt;200,A388-Y388&gt;9),OR(AND(A388&gt;75,X388="Final Handicap"),AND(A388&gt;25,X388="1st half Handicap")),OR(AND(AK388&gt;20,U388&lt;T388,E388&gt;45),AND(AK388&lt;-20,U388&gt;T388,E388&lt;55))),AND(AND(A388-AL388&lt;200,A388-AL388&gt;9),OR(AND(A388&gt;75,X388="Final Handicap"),AND(A388&gt;25,X388="1st half Handicap")),OR(AND(AX388&gt;20,U388&lt;T388,E388&gt;45),AND(AX388&lt;-20,U388&gt;T388,E388&lt;55))),AND(AND(A388-AY388&lt;200,A388-AY388&gt;9),OR(AND(A388&gt;75,X388="Final Handicap"),AND(A388&gt;25,X388="1st half Handicap")),OR(AND(BK388&gt;20,U388&lt;T388,E388&gt;45),AND(BK388&lt;-20,U388&gt;T388,E388&lt;55)))),"GOOD","")</f>
        <v/>
      </c>
      <c r="BS388" s="21"/>
    </row>
    <row r="389" spans="4:71" ht="17.25" x14ac:dyDescent="0.3">
      <c r="D389" s="8" t="str">
        <f>IF(ISBLANK(T389),"",CONCATENATE(T389,"-",U389))</f>
        <v/>
      </c>
      <c r="BL389">
        <f>IF(NOT(ISBLANK(G389)),ABS(G389),0)</f>
        <v>0</v>
      </c>
      <c r="BM389">
        <f>IF(NOT(ISBLANK(AK389)),ABS(AK389),0)</f>
        <v>0</v>
      </c>
      <c r="BN389">
        <f>IF(NOT(ISBLANK(AX389)),ABS(AX389),0)</f>
        <v>0</v>
      </c>
      <c r="BO389">
        <f>IF(NOT(ISBLANK(BK389)),ABS(BK389),0)</f>
        <v>0</v>
      </c>
      <c r="BP389">
        <f>IF(ISBLANK(E389),0,ABS(E389-50))</f>
        <v>0</v>
      </c>
      <c r="BQ389" s="21" t="str">
        <f>IF(OR(ISBLANK(V389),ISBLANK(W389)),"",IF(SUM(V389,W389)=0,"",CONCATENATE(V389,"-",W389)))</f>
        <v/>
      </c>
      <c r="BR389" s="21" t="str">
        <f>IF(OR(AND(OR(AND(A389&gt;75,X389="Final Handicap"),AND(A389&gt;25,X389="1st half Handicap")),OR(AND(G389&gt;20,U389&lt;T389,E389&gt;45),AND(G389&lt;-20,U389&gt;T389,E389&lt;55))),AND(AND(A389-Y389&lt;200,A389-Y389&gt;9),OR(AND(A389&gt;75,X389="Final Handicap"),AND(A389&gt;25,X389="1st half Handicap")),OR(AND(AK389&gt;20,U389&lt;T389,E389&gt;45),AND(AK389&lt;-20,U389&gt;T389,E389&lt;55))),AND(AND(A389-AL389&lt;200,A389-AL389&gt;9),OR(AND(A389&gt;75,X389="Final Handicap"),AND(A389&gt;25,X389="1st half Handicap")),OR(AND(AX389&gt;20,U389&lt;T389,E389&gt;45),AND(AX389&lt;-20,U389&gt;T389,E389&lt;55))),AND(AND(A389-AY389&lt;200,A389-AY389&gt;9),OR(AND(A389&gt;75,X389="Final Handicap"),AND(A389&gt;25,X389="1st half Handicap")),OR(AND(BK389&gt;20,U389&lt;T389,E389&gt;45),AND(BK389&lt;-20,U389&gt;T389,E389&lt;55)))),"GOOD","")</f>
        <v/>
      </c>
      <c r="BS389" s="21"/>
    </row>
    <row r="390" spans="4:71" ht="17.25" x14ac:dyDescent="0.3">
      <c r="D390" s="8" t="str">
        <f>IF(ISBLANK(T390),"",CONCATENATE(T390,"-",U390))</f>
        <v/>
      </c>
      <c r="BL390">
        <f>IF(NOT(ISBLANK(G390)),ABS(G390),0)</f>
        <v>0</v>
      </c>
      <c r="BM390">
        <f>IF(NOT(ISBLANK(AK390)),ABS(AK390),0)</f>
        <v>0</v>
      </c>
      <c r="BN390">
        <f>IF(NOT(ISBLANK(AX390)),ABS(AX390),0)</f>
        <v>0</v>
      </c>
      <c r="BO390">
        <f>IF(NOT(ISBLANK(BK390)),ABS(BK390),0)</f>
        <v>0</v>
      </c>
      <c r="BP390">
        <f>IF(ISBLANK(E390),0,ABS(E390-50))</f>
        <v>0</v>
      </c>
      <c r="BQ390" s="21" t="str">
        <f>IF(OR(ISBLANK(V390),ISBLANK(W390)),"",IF(SUM(V390,W390)=0,"",CONCATENATE(V390,"-",W390)))</f>
        <v/>
      </c>
      <c r="BR390" s="21" t="str">
        <f>IF(OR(AND(OR(AND(A390&gt;75,X390="Final Handicap"),AND(A390&gt;25,X390="1st half Handicap")),OR(AND(G390&gt;20,U390&lt;T390,E390&gt;45),AND(G390&lt;-20,U390&gt;T390,E390&lt;55))),AND(AND(A390-Y390&lt;200,A390-Y390&gt;9),OR(AND(A390&gt;75,X390="Final Handicap"),AND(A390&gt;25,X390="1st half Handicap")),OR(AND(AK390&gt;20,U390&lt;T390,E390&gt;45),AND(AK390&lt;-20,U390&gt;T390,E390&lt;55))),AND(AND(A390-AL390&lt;200,A390-AL390&gt;9),OR(AND(A390&gt;75,X390="Final Handicap"),AND(A390&gt;25,X390="1st half Handicap")),OR(AND(AX390&gt;20,U390&lt;T390,E390&gt;45),AND(AX390&lt;-20,U390&gt;T390,E390&lt;55))),AND(AND(A390-AY390&lt;200,A390-AY390&gt;9),OR(AND(A390&gt;75,X390="Final Handicap"),AND(A390&gt;25,X390="1st half Handicap")),OR(AND(BK390&gt;20,U390&lt;T390,E390&gt;45),AND(BK390&lt;-20,U390&gt;T390,E390&lt;55)))),"GOOD","")</f>
        <v/>
      </c>
      <c r="BS390" s="21"/>
    </row>
    <row r="391" spans="4:71" ht="17.25" x14ac:dyDescent="0.3">
      <c r="D391" s="8" t="str">
        <f>IF(ISBLANK(T391),"",CONCATENATE(T391,"-",U391))</f>
        <v/>
      </c>
      <c r="BL391">
        <f>IF(NOT(ISBLANK(G391)),ABS(G391),0)</f>
        <v>0</v>
      </c>
      <c r="BM391">
        <f>IF(NOT(ISBLANK(AK391)),ABS(AK391),0)</f>
        <v>0</v>
      </c>
      <c r="BN391">
        <f>IF(NOT(ISBLANK(AX391)),ABS(AX391),0)</f>
        <v>0</v>
      </c>
      <c r="BO391">
        <f>IF(NOT(ISBLANK(BK391)),ABS(BK391),0)</f>
        <v>0</v>
      </c>
      <c r="BP391">
        <f>IF(ISBLANK(E391),0,ABS(E391-50))</f>
        <v>0</v>
      </c>
      <c r="BQ391" s="21" t="str">
        <f>IF(OR(ISBLANK(V391),ISBLANK(W391)),"",IF(SUM(V391,W391)=0,"",CONCATENATE(V391,"-",W391)))</f>
        <v/>
      </c>
      <c r="BR391" s="21" t="str">
        <f>IF(OR(AND(OR(AND(A391&gt;75,X391="Final Handicap"),AND(A391&gt;25,X391="1st half Handicap")),OR(AND(G391&gt;20,U391&lt;T391,E391&gt;45),AND(G391&lt;-20,U391&gt;T391,E391&lt;55))),AND(AND(A391-Y391&lt;200,A391-Y391&gt;9),OR(AND(A391&gt;75,X391="Final Handicap"),AND(A391&gt;25,X391="1st half Handicap")),OR(AND(AK391&gt;20,U391&lt;T391,E391&gt;45),AND(AK391&lt;-20,U391&gt;T391,E391&lt;55))),AND(AND(A391-AL391&lt;200,A391-AL391&gt;9),OR(AND(A391&gt;75,X391="Final Handicap"),AND(A391&gt;25,X391="1st half Handicap")),OR(AND(AX391&gt;20,U391&lt;T391,E391&gt;45),AND(AX391&lt;-20,U391&gt;T391,E391&lt;55))),AND(AND(A391-AY391&lt;200,A391-AY391&gt;9),OR(AND(A391&gt;75,X391="Final Handicap"),AND(A391&gt;25,X391="1st half Handicap")),OR(AND(BK391&gt;20,U391&lt;T391,E391&gt;45),AND(BK391&lt;-20,U391&gt;T391,E391&lt;55)))),"GOOD","")</f>
        <v/>
      </c>
      <c r="BS391" s="21"/>
    </row>
    <row r="392" spans="4:71" ht="17.25" x14ac:dyDescent="0.3">
      <c r="D392" s="8" t="str">
        <f>IF(ISBLANK(T392),"",CONCATENATE(T392,"-",U392))</f>
        <v/>
      </c>
      <c r="BL392">
        <f>IF(NOT(ISBLANK(G392)),ABS(G392),0)</f>
        <v>0</v>
      </c>
      <c r="BM392">
        <f>IF(NOT(ISBLANK(AK392)),ABS(AK392),0)</f>
        <v>0</v>
      </c>
      <c r="BN392">
        <f>IF(NOT(ISBLANK(AX392)),ABS(AX392),0)</f>
        <v>0</v>
      </c>
      <c r="BO392">
        <f>IF(NOT(ISBLANK(BK392)),ABS(BK392),0)</f>
        <v>0</v>
      </c>
      <c r="BP392">
        <f>IF(ISBLANK(E392),0,ABS(E392-50))</f>
        <v>0</v>
      </c>
      <c r="BQ392" s="21" t="str">
        <f>IF(OR(ISBLANK(V392),ISBLANK(W392)),"",IF(SUM(V392,W392)=0,"",CONCATENATE(V392,"-",W392)))</f>
        <v/>
      </c>
      <c r="BR392" s="21" t="str">
        <f>IF(OR(AND(OR(AND(A392&gt;75,X392="Final Handicap"),AND(A392&gt;25,X392="1st half Handicap")),OR(AND(G392&gt;20,U392&lt;T392,E392&gt;45),AND(G392&lt;-20,U392&gt;T392,E392&lt;55))),AND(AND(A392-Y392&lt;200,A392-Y392&gt;9),OR(AND(A392&gt;75,X392="Final Handicap"),AND(A392&gt;25,X392="1st half Handicap")),OR(AND(AK392&gt;20,U392&lt;T392,E392&gt;45),AND(AK392&lt;-20,U392&gt;T392,E392&lt;55))),AND(AND(A392-AL392&lt;200,A392-AL392&gt;9),OR(AND(A392&gt;75,X392="Final Handicap"),AND(A392&gt;25,X392="1st half Handicap")),OR(AND(AX392&gt;20,U392&lt;T392,E392&gt;45),AND(AX392&lt;-20,U392&gt;T392,E392&lt;55))),AND(AND(A392-AY392&lt;200,A392-AY392&gt;9),OR(AND(A392&gt;75,X392="Final Handicap"),AND(A392&gt;25,X392="1st half Handicap")),OR(AND(BK392&gt;20,U392&lt;T392,E392&gt;45),AND(BK392&lt;-20,U392&gt;T392,E392&lt;55)))),"GOOD","")</f>
        <v/>
      </c>
      <c r="BS392" s="21"/>
    </row>
    <row r="393" spans="4:71" ht="17.25" x14ac:dyDescent="0.3">
      <c r="D393" s="8" t="str">
        <f>IF(ISBLANK(T393),"",CONCATENATE(T393,"-",U393))</f>
        <v/>
      </c>
      <c r="BL393">
        <f>IF(NOT(ISBLANK(G393)),ABS(G393),0)</f>
        <v>0</v>
      </c>
      <c r="BM393">
        <f>IF(NOT(ISBLANK(AK393)),ABS(AK393),0)</f>
        <v>0</v>
      </c>
      <c r="BN393">
        <f>IF(NOT(ISBLANK(AX393)),ABS(AX393),0)</f>
        <v>0</v>
      </c>
      <c r="BO393">
        <f>IF(NOT(ISBLANK(BK393)),ABS(BK393),0)</f>
        <v>0</v>
      </c>
      <c r="BP393">
        <f>IF(ISBLANK(E393),0,ABS(E393-50))</f>
        <v>0</v>
      </c>
      <c r="BQ393" s="21" t="str">
        <f>IF(OR(ISBLANK(V393),ISBLANK(W393)),"",IF(SUM(V393,W393)=0,"",CONCATENATE(V393,"-",W393)))</f>
        <v/>
      </c>
      <c r="BR393" s="21" t="str">
        <f>IF(OR(AND(OR(AND(A393&gt;75,X393="Final Handicap"),AND(A393&gt;25,X393="1st half Handicap")),OR(AND(G393&gt;20,U393&lt;T393,E393&gt;45),AND(G393&lt;-20,U393&gt;T393,E393&lt;55))),AND(AND(A393-Y393&lt;200,A393-Y393&gt;9),OR(AND(A393&gt;75,X393="Final Handicap"),AND(A393&gt;25,X393="1st half Handicap")),OR(AND(AK393&gt;20,U393&lt;T393,E393&gt;45),AND(AK393&lt;-20,U393&gt;T393,E393&lt;55))),AND(AND(A393-AL393&lt;200,A393-AL393&gt;9),OR(AND(A393&gt;75,X393="Final Handicap"),AND(A393&gt;25,X393="1st half Handicap")),OR(AND(AX393&gt;20,U393&lt;T393,E393&gt;45),AND(AX393&lt;-20,U393&gt;T393,E393&lt;55))),AND(AND(A393-AY393&lt;200,A393-AY393&gt;9),OR(AND(A393&gt;75,X393="Final Handicap"),AND(A393&gt;25,X393="1st half Handicap")),OR(AND(BK393&gt;20,U393&lt;T393,E393&gt;45),AND(BK393&lt;-20,U393&gt;T393,E393&lt;55)))),"GOOD","")</f>
        <v/>
      </c>
      <c r="BS393" s="21"/>
    </row>
    <row r="394" spans="4:71" ht="17.25" x14ac:dyDescent="0.3">
      <c r="D394" s="8" t="str">
        <f>IF(ISBLANK(T394),"",CONCATENATE(T394,"-",U394))</f>
        <v/>
      </c>
      <c r="BL394">
        <f>IF(NOT(ISBLANK(G394)),ABS(G394),0)</f>
        <v>0</v>
      </c>
      <c r="BM394">
        <f>IF(NOT(ISBLANK(AK394)),ABS(AK394),0)</f>
        <v>0</v>
      </c>
      <c r="BN394">
        <f>IF(NOT(ISBLANK(AX394)),ABS(AX394),0)</f>
        <v>0</v>
      </c>
      <c r="BO394">
        <f>IF(NOT(ISBLANK(BK394)),ABS(BK394),0)</f>
        <v>0</v>
      </c>
      <c r="BP394">
        <f>IF(ISBLANK(E394),0,ABS(E394-50))</f>
        <v>0</v>
      </c>
      <c r="BQ394" s="21" t="str">
        <f>IF(OR(ISBLANK(V394),ISBLANK(W394)),"",IF(SUM(V394,W394)=0,"",CONCATENATE(V394,"-",W394)))</f>
        <v/>
      </c>
      <c r="BR394" s="21" t="str">
        <f>IF(OR(AND(OR(AND(A394&gt;75,X394="Final Handicap"),AND(A394&gt;25,X394="1st half Handicap")),OR(AND(G394&gt;20,U394&lt;T394,E394&gt;45),AND(G394&lt;-20,U394&gt;T394,E394&lt;55))),AND(AND(A394-Y394&lt;200,A394-Y394&gt;9),OR(AND(A394&gt;75,X394="Final Handicap"),AND(A394&gt;25,X394="1st half Handicap")),OR(AND(AK394&gt;20,U394&lt;T394,E394&gt;45),AND(AK394&lt;-20,U394&gt;T394,E394&lt;55))),AND(AND(A394-AL394&lt;200,A394-AL394&gt;9),OR(AND(A394&gt;75,X394="Final Handicap"),AND(A394&gt;25,X394="1st half Handicap")),OR(AND(AX394&gt;20,U394&lt;T394,E394&gt;45),AND(AX394&lt;-20,U394&gt;T394,E394&lt;55))),AND(AND(A394-AY394&lt;200,A394-AY394&gt;9),OR(AND(A394&gt;75,X394="Final Handicap"),AND(A394&gt;25,X394="1st half Handicap")),OR(AND(BK394&gt;20,U394&lt;T394,E394&gt;45),AND(BK394&lt;-20,U394&gt;T394,E394&lt;55)))),"GOOD","")</f>
        <v/>
      </c>
      <c r="BS394" s="21"/>
    </row>
    <row r="395" spans="4:71" ht="17.25" x14ac:dyDescent="0.3">
      <c r="D395" s="8" t="str">
        <f>IF(ISBLANK(T395),"",CONCATENATE(T395,"-",U395))</f>
        <v/>
      </c>
      <c r="BL395">
        <f>IF(NOT(ISBLANK(G395)),ABS(G395),0)</f>
        <v>0</v>
      </c>
      <c r="BM395">
        <f>IF(NOT(ISBLANK(AK395)),ABS(AK395),0)</f>
        <v>0</v>
      </c>
      <c r="BN395">
        <f>IF(NOT(ISBLANK(AX395)),ABS(AX395),0)</f>
        <v>0</v>
      </c>
      <c r="BO395">
        <f>IF(NOT(ISBLANK(BK395)),ABS(BK395),0)</f>
        <v>0</v>
      </c>
      <c r="BP395">
        <f>IF(ISBLANK(E395),0,ABS(E395-50))</f>
        <v>0</v>
      </c>
      <c r="BQ395" s="21" t="str">
        <f>IF(OR(ISBLANK(V395),ISBLANK(W395)),"",IF(SUM(V395,W395)=0,"",CONCATENATE(V395,"-",W395)))</f>
        <v/>
      </c>
      <c r="BR395" s="21" t="str">
        <f>IF(OR(AND(OR(AND(A395&gt;75,X395="Final Handicap"),AND(A395&gt;25,X395="1st half Handicap")),OR(AND(G395&gt;20,U395&lt;T395,E395&gt;45),AND(G395&lt;-20,U395&gt;T395,E395&lt;55))),AND(AND(A395-Y395&lt;200,A395-Y395&gt;9),OR(AND(A395&gt;75,X395="Final Handicap"),AND(A395&gt;25,X395="1st half Handicap")),OR(AND(AK395&gt;20,U395&lt;T395,E395&gt;45),AND(AK395&lt;-20,U395&gt;T395,E395&lt;55))),AND(AND(A395-AL395&lt;200,A395-AL395&gt;9),OR(AND(A395&gt;75,X395="Final Handicap"),AND(A395&gt;25,X395="1st half Handicap")),OR(AND(AX395&gt;20,U395&lt;T395,E395&gt;45),AND(AX395&lt;-20,U395&gt;T395,E395&lt;55))),AND(AND(A395-AY395&lt;200,A395-AY395&gt;9),OR(AND(A395&gt;75,X395="Final Handicap"),AND(A395&gt;25,X395="1st half Handicap")),OR(AND(BK395&gt;20,U395&lt;T395,E395&gt;45),AND(BK395&lt;-20,U395&gt;T395,E395&lt;55)))),"GOOD","")</f>
        <v/>
      </c>
      <c r="BS395" s="21"/>
    </row>
    <row r="396" spans="4:71" ht="17.25" x14ac:dyDescent="0.3">
      <c r="D396" s="8" t="str">
        <f>IF(ISBLANK(T396),"",CONCATENATE(T396,"-",U396))</f>
        <v/>
      </c>
      <c r="BL396">
        <f>IF(NOT(ISBLANK(G396)),ABS(G396),0)</f>
        <v>0</v>
      </c>
      <c r="BM396">
        <f>IF(NOT(ISBLANK(AK396)),ABS(AK396),0)</f>
        <v>0</v>
      </c>
      <c r="BN396">
        <f>IF(NOT(ISBLANK(AX396)),ABS(AX396),0)</f>
        <v>0</v>
      </c>
      <c r="BO396">
        <f>IF(NOT(ISBLANK(BK396)),ABS(BK396),0)</f>
        <v>0</v>
      </c>
      <c r="BP396">
        <f>IF(ISBLANK(E396),0,ABS(E396-50))</f>
        <v>0</v>
      </c>
      <c r="BQ396" s="21" t="str">
        <f>IF(OR(ISBLANK(V396),ISBLANK(W396)),"",IF(SUM(V396,W396)=0,"",CONCATENATE(V396,"-",W396)))</f>
        <v/>
      </c>
      <c r="BR396" s="21" t="str">
        <f>IF(OR(AND(OR(AND(A396&gt;75,X396="Final Handicap"),AND(A396&gt;25,X396="1st half Handicap")),OR(AND(G396&gt;20,U396&lt;T396,E396&gt;45),AND(G396&lt;-20,U396&gt;T396,E396&lt;55))),AND(AND(A396-Y396&lt;200,A396-Y396&gt;9),OR(AND(A396&gt;75,X396="Final Handicap"),AND(A396&gt;25,X396="1st half Handicap")),OR(AND(AK396&gt;20,U396&lt;T396,E396&gt;45),AND(AK396&lt;-20,U396&gt;T396,E396&lt;55))),AND(AND(A396-AL396&lt;200,A396-AL396&gt;9),OR(AND(A396&gt;75,X396="Final Handicap"),AND(A396&gt;25,X396="1st half Handicap")),OR(AND(AX396&gt;20,U396&lt;T396,E396&gt;45),AND(AX396&lt;-20,U396&gt;T396,E396&lt;55))),AND(AND(A396-AY396&lt;200,A396-AY396&gt;9),OR(AND(A396&gt;75,X396="Final Handicap"),AND(A396&gt;25,X396="1st half Handicap")),OR(AND(BK396&gt;20,U396&lt;T396,E396&gt;45),AND(BK396&lt;-20,U396&gt;T396,E396&lt;55)))),"GOOD","")</f>
        <v/>
      </c>
      <c r="BS396" s="21"/>
    </row>
    <row r="397" spans="4:71" ht="17.25" x14ac:dyDescent="0.3">
      <c r="D397" s="8" t="str">
        <f>IF(ISBLANK(T397),"",CONCATENATE(T397,"-",U397))</f>
        <v/>
      </c>
      <c r="BL397">
        <f>IF(NOT(ISBLANK(G397)),ABS(G397),0)</f>
        <v>0</v>
      </c>
      <c r="BM397">
        <f>IF(NOT(ISBLANK(AK397)),ABS(AK397),0)</f>
        <v>0</v>
      </c>
      <c r="BN397">
        <f>IF(NOT(ISBLANK(AX397)),ABS(AX397),0)</f>
        <v>0</v>
      </c>
      <c r="BO397">
        <f>IF(NOT(ISBLANK(BK397)),ABS(BK397),0)</f>
        <v>0</v>
      </c>
      <c r="BP397">
        <f>IF(ISBLANK(E397),0,ABS(E397-50))</f>
        <v>0</v>
      </c>
      <c r="BQ397" s="21" t="str">
        <f>IF(OR(ISBLANK(V397),ISBLANK(W397)),"",IF(SUM(V397,W397)=0,"",CONCATENATE(V397,"-",W397)))</f>
        <v/>
      </c>
      <c r="BR397" s="21" t="str">
        <f>IF(OR(AND(OR(AND(A397&gt;75,X397="Final Handicap"),AND(A397&gt;25,X397="1st half Handicap")),OR(AND(G397&gt;20,U397&lt;T397,E397&gt;45),AND(G397&lt;-20,U397&gt;T397,E397&lt;55))),AND(AND(A397-Y397&lt;200,A397-Y397&gt;9),OR(AND(A397&gt;75,X397="Final Handicap"),AND(A397&gt;25,X397="1st half Handicap")),OR(AND(AK397&gt;20,U397&lt;T397,E397&gt;45),AND(AK397&lt;-20,U397&gt;T397,E397&lt;55))),AND(AND(A397-AL397&lt;200,A397-AL397&gt;9),OR(AND(A397&gt;75,X397="Final Handicap"),AND(A397&gt;25,X397="1st half Handicap")),OR(AND(AX397&gt;20,U397&lt;T397,E397&gt;45),AND(AX397&lt;-20,U397&gt;T397,E397&lt;55))),AND(AND(A397-AY397&lt;200,A397-AY397&gt;9),OR(AND(A397&gt;75,X397="Final Handicap"),AND(A397&gt;25,X397="1st half Handicap")),OR(AND(BK397&gt;20,U397&lt;T397,E397&gt;45),AND(BK397&lt;-20,U397&gt;T397,E397&lt;55)))),"GOOD","")</f>
        <v/>
      </c>
      <c r="BS397" s="21"/>
    </row>
    <row r="398" spans="4:71" ht="17.25" x14ac:dyDescent="0.3">
      <c r="D398" s="8" t="str">
        <f>IF(ISBLANK(T398),"",CONCATENATE(T398,"-",U398))</f>
        <v/>
      </c>
      <c r="BL398">
        <f>IF(NOT(ISBLANK(G398)),ABS(G398),0)</f>
        <v>0</v>
      </c>
      <c r="BM398">
        <f>IF(NOT(ISBLANK(AK398)),ABS(AK398),0)</f>
        <v>0</v>
      </c>
      <c r="BN398">
        <f>IF(NOT(ISBLANK(AX398)),ABS(AX398),0)</f>
        <v>0</v>
      </c>
      <c r="BO398">
        <f>IF(NOT(ISBLANK(BK398)),ABS(BK398),0)</f>
        <v>0</v>
      </c>
      <c r="BP398">
        <f>IF(ISBLANK(E398),0,ABS(E398-50))</f>
        <v>0</v>
      </c>
      <c r="BQ398" s="21" t="str">
        <f>IF(OR(ISBLANK(V398),ISBLANK(W398)),"",IF(SUM(V398,W398)=0,"",CONCATENATE(V398,"-",W398)))</f>
        <v/>
      </c>
      <c r="BR398" s="21" t="str">
        <f>IF(OR(AND(OR(AND(A398&gt;75,X398="Final Handicap"),AND(A398&gt;25,X398="1st half Handicap")),OR(AND(G398&gt;20,U398&lt;T398,E398&gt;45),AND(G398&lt;-20,U398&gt;T398,E398&lt;55))),AND(AND(A398-Y398&lt;200,A398-Y398&gt;9),OR(AND(A398&gt;75,X398="Final Handicap"),AND(A398&gt;25,X398="1st half Handicap")),OR(AND(AK398&gt;20,U398&lt;T398,E398&gt;45),AND(AK398&lt;-20,U398&gt;T398,E398&lt;55))),AND(AND(A398-AL398&lt;200,A398-AL398&gt;9),OR(AND(A398&gt;75,X398="Final Handicap"),AND(A398&gt;25,X398="1st half Handicap")),OR(AND(AX398&gt;20,U398&lt;T398,E398&gt;45),AND(AX398&lt;-20,U398&gt;T398,E398&lt;55))),AND(AND(A398-AY398&lt;200,A398-AY398&gt;9),OR(AND(A398&gt;75,X398="Final Handicap"),AND(A398&gt;25,X398="1st half Handicap")),OR(AND(BK398&gt;20,U398&lt;T398,E398&gt;45),AND(BK398&lt;-20,U398&gt;T398,E398&lt;55)))),"GOOD","")</f>
        <v/>
      </c>
      <c r="BS398" s="21"/>
    </row>
    <row r="399" spans="4:71" ht="17.25" x14ac:dyDescent="0.3">
      <c r="D399" s="8" t="str">
        <f>IF(ISBLANK(T399),"",CONCATENATE(T399,"-",U399))</f>
        <v/>
      </c>
      <c r="BL399">
        <f>IF(NOT(ISBLANK(G399)),ABS(G399),0)</f>
        <v>0</v>
      </c>
      <c r="BM399">
        <f>IF(NOT(ISBLANK(AK399)),ABS(AK399),0)</f>
        <v>0</v>
      </c>
      <c r="BN399">
        <f>IF(NOT(ISBLANK(AX399)),ABS(AX399),0)</f>
        <v>0</v>
      </c>
      <c r="BO399">
        <f>IF(NOT(ISBLANK(BK399)),ABS(BK399),0)</f>
        <v>0</v>
      </c>
      <c r="BP399">
        <f>IF(ISBLANK(E399),0,ABS(E399-50))</f>
        <v>0</v>
      </c>
      <c r="BQ399" s="21" t="str">
        <f>IF(OR(ISBLANK(V399),ISBLANK(W399)),"",IF(SUM(V399,W399)=0,"",CONCATENATE(V399,"-",W399)))</f>
        <v/>
      </c>
      <c r="BR399" s="21" t="str">
        <f>IF(OR(AND(OR(AND(A399&gt;75,X399="Final Handicap"),AND(A399&gt;25,X399="1st half Handicap")),OR(AND(G399&gt;20,U399&lt;T399,E399&gt;45),AND(G399&lt;-20,U399&gt;T399,E399&lt;55))),AND(AND(A399-Y399&lt;200,A399-Y399&gt;9),OR(AND(A399&gt;75,X399="Final Handicap"),AND(A399&gt;25,X399="1st half Handicap")),OR(AND(AK399&gt;20,U399&lt;T399,E399&gt;45),AND(AK399&lt;-20,U399&gt;T399,E399&lt;55))),AND(AND(A399-AL399&lt;200,A399-AL399&gt;9),OR(AND(A399&gt;75,X399="Final Handicap"),AND(A399&gt;25,X399="1st half Handicap")),OR(AND(AX399&gt;20,U399&lt;T399,E399&gt;45),AND(AX399&lt;-20,U399&gt;T399,E399&lt;55))),AND(AND(A399-AY399&lt;200,A399-AY399&gt;9),OR(AND(A399&gt;75,X399="Final Handicap"),AND(A399&gt;25,X399="1st half Handicap")),OR(AND(BK399&gt;20,U399&lt;T399,E399&gt;45),AND(BK399&lt;-20,U399&gt;T399,E399&lt;55)))),"GOOD","")</f>
        <v/>
      </c>
      <c r="BS399" s="21"/>
    </row>
    <row r="400" spans="4:71" ht="17.25" x14ac:dyDescent="0.3">
      <c r="D400" s="8" t="str">
        <f>IF(ISBLANK(T400),"",CONCATENATE(T400,"-",U400))</f>
        <v/>
      </c>
      <c r="BL400">
        <f>IF(NOT(ISBLANK(G400)),ABS(G400),0)</f>
        <v>0</v>
      </c>
      <c r="BM400">
        <f>IF(NOT(ISBLANK(AK400)),ABS(AK400),0)</f>
        <v>0</v>
      </c>
      <c r="BN400">
        <f>IF(NOT(ISBLANK(AX400)),ABS(AX400),0)</f>
        <v>0</v>
      </c>
      <c r="BO400">
        <f>IF(NOT(ISBLANK(BK400)),ABS(BK400),0)</f>
        <v>0</v>
      </c>
      <c r="BP400">
        <f>IF(ISBLANK(E400),0,ABS(E400-50))</f>
        <v>0</v>
      </c>
      <c r="BQ400" s="21" t="str">
        <f>IF(OR(ISBLANK(V400),ISBLANK(W400)),"",IF(SUM(V400,W400)=0,"",CONCATENATE(V400,"-",W400)))</f>
        <v/>
      </c>
      <c r="BR400" s="21" t="str">
        <f>IF(OR(AND(OR(AND(A400&gt;75,X400="Final Handicap"),AND(A400&gt;25,X400="1st half Handicap")),OR(AND(G400&gt;20,U400&lt;T400,E400&gt;45),AND(G400&lt;-20,U400&gt;T400,E400&lt;55))),AND(AND(A400-Y400&lt;200,A400-Y400&gt;9),OR(AND(A400&gt;75,X400="Final Handicap"),AND(A400&gt;25,X400="1st half Handicap")),OR(AND(AK400&gt;20,U400&lt;T400,E400&gt;45),AND(AK400&lt;-20,U400&gt;T400,E400&lt;55))),AND(AND(A400-AL400&lt;200,A400-AL400&gt;9),OR(AND(A400&gt;75,X400="Final Handicap"),AND(A400&gt;25,X400="1st half Handicap")),OR(AND(AX400&gt;20,U400&lt;T400,E400&gt;45),AND(AX400&lt;-20,U400&gt;T400,E400&lt;55))),AND(AND(A400-AY400&lt;200,A400-AY400&gt;9),OR(AND(A400&gt;75,X400="Final Handicap"),AND(A400&gt;25,X400="1st half Handicap")),OR(AND(BK400&gt;20,U400&lt;T400,E400&gt;45),AND(BK400&lt;-20,U400&gt;T400,E400&lt;55)))),"GOOD","")</f>
        <v/>
      </c>
      <c r="BS400" s="21"/>
    </row>
    <row r="401" spans="4:71" ht="17.25" x14ac:dyDescent="0.3">
      <c r="D401" s="8" t="str">
        <f>IF(ISBLANK(T401),"",CONCATENATE(T401,"-",U401))</f>
        <v/>
      </c>
      <c r="BL401">
        <f>IF(NOT(ISBLANK(G401)),ABS(G401),0)</f>
        <v>0</v>
      </c>
      <c r="BM401">
        <f>IF(NOT(ISBLANK(AK401)),ABS(AK401),0)</f>
        <v>0</v>
      </c>
      <c r="BN401">
        <f>IF(NOT(ISBLANK(AX401)),ABS(AX401),0)</f>
        <v>0</v>
      </c>
      <c r="BO401">
        <f>IF(NOT(ISBLANK(BK401)),ABS(BK401),0)</f>
        <v>0</v>
      </c>
      <c r="BP401">
        <f>IF(ISBLANK(E401),0,ABS(E401-50))</f>
        <v>0</v>
      </c>
      <c r="BQ401" s="21" t="str">
        <f>IF(OR(ISBLANK(V401),ISBLANK(W401)),"",IF(SUM(V401,W401)=0,"",CONCATENATE(V401,"-",W401)))</f>
        <v/>
      </c>
      <c r="BR401" s="21" t="str">
        <f>IF(OR(AND(OR(AND(A401&gt;75,X401="Final Handicap"),AND(A401&gt;25,X401="1st half Handicap")),OR(AND(G401&gt;20,U401&lt;T401,E401&gt;45),AND(G401&lt;-20,U401&gt;T401,E401&lt;55))),AND(AND(A401-Y401&lt;200,A401-Y401&gt;9),OR(AND(A401&gt;75,X401="Final Handicap"),AND(A401&gt;25,X401="1st half Handicap")),OR(AND(AK401&gt;20,U401&lt;T401,E401&gt;45),AND(AK401&lt;-20,U401&gt;T401,E401&lt;55))),AND(AND(A401-AL401&lt;200,A401-AL401&gt;9),OR(AND(A401&gt;75,X401="Final Handicap"),AND(A401&gt;25,X401="1st half Handicap")),OR(AND(AX401&gt;20,U401&lt;T401,E401&gt;45),AND(AX401&lt;-20,U401&gt;T401,E401&lt;55))),AND(AND(A401-AY401&lt;200,A401-AY401&gt;9),OR(AND(A401&gt;75,X401="Final Handicap"),AND(A401&gt;25,X401="1st half Handicap")),OR(AND(BK401&gt;20,U401&lt;T401,E401&gt;45),AND(BK401&lt;-20,U401&gt;T401,E401&lt;55)))),"GOOD","")</f>
        <v/>
      </c>
      <c r="BS401" s="21"/>
    </row>
    <row r="402" spans="4:71" ht="17.25" x14ac:dyDescent="0.3">
      <c r="D402" s="8" t="str">
        <f>IF(ISBLANK(T402),"",CONCATENATE(T402,"-",U402))</f>
        <v/>
      </c>
      <c r="BL402">
        <f>IF(NOT(ISBLANK(G402)),ABS(G402),0)</f>
        <v>0</v>
      </c>
      <c r="BM402">
        <f>IF(NOT(ISBLANK(AK402)),ABS(AK402),0)</f>
        <v>0</v>
      </c>
      <c r="BN402">
        <f>IF(NOT(ISBLANK(AX402)),ABS(AX402),0)</f>
        <v>0</v>
      </c>
      <c r="BO402">
        <f>IF(NOT(ISBLANK(BK402)),ABS(BK402),0)</f>
        <v>0</v>
      </c>
      <c r="BP402">
        <f>IF(ISBLANK(E402),0,ABS(E402-50))</f>
        <v>0</v>
      </c>
      <c r="BQ402" s="21" t="str">
        <f>IF(OR(ISBLANK(V402),ISBLANK(W402)),"",IF(SUM(V402,W402)=0,"",CONCATENATE(V402,"-",W402)))</f>
        <v/>
      </c>
      <c r="BR402" s="21" t="str">
        <f>IF(OR(AND(OR(AND(A402&gt;75,X402="Final Handicap"),AND(A402&gt;25,X402="1st half Handicap")),OR(AND(G402&gt;20,U402&lt;T402,E402&gt;45),AND(G402&lt;-20,U402&gt;T402,E402&lt;55))),AND(AND(A402-Y402&lt;200,A402-Y402&gt;9),OR(AND(A402&gt;75,X402="Final Handicap"),AND(A402&gt;25,X402="1st half Handicap")),OR(AND(AK402&gt;20,U402&lt;T402,E402&gt;45),AND(AK402&lt;-20,U402&gt;T402,E402&lt;55))),AND(AND(A402-AL402&lt;200,A402-AL402&gt;9),OR(AND(A402&gt;75,X402="Final Handicap"),AND(A402&gt;25,X402="1st half Handicap")),OR(AND(AX402&gt;20,U402&lt;T402,E402&gt;45),AND(AX402&lt;-20,U402&gt;T402,E402&lt;55))),AND(AND(A402-AY402&lt;200,A402-AY402&gt;9),OR(AND(A402&gt;75,X402="Final Handicap"),AND(A402&gt;25,X402="1st half Handicap")),OR(AND(BK402&gt;20,U402&lt;T402,E402&gt;45),AND(BK402&lt;-20,U402&gt;T402,E402&lt;55)))),"GOOD","")</f>
        <v/>
      </c>
      <c r="BS402" s="21"/>
    </row>
    <row r="403" spans="4:71" ht="17.25" x14ac:dyDescent="0.3">
      <c r="D403" s="8" t="str">
        <f>IF(ISBLANK(T403),"",CONCATENATE(T403,"-",U403))</f>
        <v/>
      </c>
      <c r="BL403">
        <f>IF(NOT(ISBLANK(G403)),ABS(G403),0)</f>
        <v>0</v>
      </c>
      <c r="BM403">
        <f>IF(NOT(ISBLANK(AK403)),ABS(AK403),0)</f>
        <v>0</v>
      </c>
      <c r="BN403">
        <f>IF(NOT(ISBLANK(AX403)),ABS(AX403),0)</f>
        <v>0</v>
      </c>
      <c r="BO403">
        <f>IF(NOT(ISBLANK(BK403)),ABS(BK403),0)</f>
        <v>0</v>
      </c>
      <c r="BP403">
        <f>IF(ISBLANK(E403),0,ABS(E403-50))</f>
        <v>0</v>
      </c>
      <c r="BQ403" s="21" t="str">
        <f>IF(OR(ISBLANK(V403),ISBLANK(W403)),"",IF(SUM(V403,W403)=0,"",CONCATENATE(V403,"-",W403)))</f>
        <v/>
      </c>
      <c r="BR403" s="21" t="str">
        <f>IF(OR(AND(OR(AND(A403&gt;75,X403="Final Handicap"),AND(A403&gt;25,X403="1st half Handicap")),OR(AND(G403&gt;20,U403&lt;T403,E403&gt;45),AND(G403&lt;-20,U403&gt;T403,E403&lt;55))),AND(AND(A403-Y403&lt;200,A403-Y403&gt;9),OR(AND(A403&gt;75,X403="Final Handicap"),AND(A403&gt;25,X403="1st half Handicap")),OR(AND(AK403&gt;20,U403&lt;T403,E403&gt;45),AND(AK403&lt;-20,U403&gt;T403,E403&lt;55))),AND(AND(A403-AL403&lt;200,A403-AL403&gt;9),OR(AND(A403&gt;75,X403="Final Handicap"),AND(A403&gt;25,X403="1st half Handicap")),OR(AND(AX403&gt;20,U403&lt;T403,E403&gt;45),AND(AX403&lt;-20,U403&gt;T403,E403&lt;55))),AND(AND(A403-AY403&lt;200,A403-AY403&gt;9),OR(AND(A403&gt;75,X403="Final Handicap"),AND(A403&gt;25,X403="1st half Handicap")),OR(AND(BK403&gt;20,U403&lt;T403,E403&gt;45),AND(BK403&lt;-20,U403&gt;T403,E403&lt;55)))),"GOOD","")</f>
        <v/>
      </c>
      <c r="BS403" s="21"/>
    </row>
    <row r="404" spans="4:71" ht="17.25" x14ac:dyDescent="0.3">
      <c r="D404" s="8" t="str">
        <f>IF(ISBLANK(T404),"",CONCATENATE(T404,"-",U404))</f>
        <v/>
      </c>
      <c r="BL404">
        <f>IF(NOT(ISBLANK(G404)),ABS(G404),0)</f>
        <v>0</v>
      </c>
      <c r="BM404">
        <f>IF(NOT(ISBLANK(AK404)),ABS(AK404),0)</f>
        <v>0</v>
      </c>
      <c r="BN404">
        <f>IF(NOT(ISBLANK(AX404)),ABS(AX404),0)</f>
        <v>0</v>
      </c>
      <c r="BO404">
        <f>IF(NOT(ISBLANK(BK404)),ABS(BK404),0)</f>
        <v>0</v>
      </c>
      <c r="BP404">
        <f>IF(ISBLANK(E404),0,ABS(E404-50))</f>
        <v>0</v>
      </c>
      <c r="BQ404" s="21" t="str">
        <f>IF(OR(ISBLANK(V404),ISBLANK(W404)),"",IF(SUM(V404,W404)=0,"",CONCATENATE(V404,"-",W404)))</f>
        <v/>
      </c>
      <c r="BR404" s="21" t="str">
        <f>IF(OR(AND(OR(AND(A404&gt;75,X404="Final Handicap"),AND(A404&gt;25,X404="1st half Handicap")),OR(AND(G404&gt;20,U404&lt;T404,E404&gt;45),AND(G404&lt;-20,U404&gt;T404,E404&lt;55))),AND(AND(A404-Y404&lt;200,A404-Y404&gt;9),OR(AND(A404&gt;75,X404="Final Handicap"),AND(A404&gt;25,X404="1st half Handicap")),OR(AND(AK404&gt;20,U404&lt;T404,E404&gt;45),AND(AK404&lt;-20,U404&gt;T404,E404&lt;55))),AND(AND(A404-AL404&lt;200,A404-AL404&gt;9),OR(AND(A404&gt;75,X404="Final Handicap"),AND(A404&gt;25,X404="1st half Handicap")),OR(AND(AX404&gt;20,U404&lt;T404,E404&gt;45),AND(AX404&lt;-20,U404&gt;T404,E404&lt;55))),AND(AND(A404-AY404&lt;200,A404-AY404&gt;9),OR(AND(A404&gt;75,X404="Final Handicap"),AND(A404&gt;25,X404="1st half Handicap")),OR(AND(BK404&gt;20,U404&lt;T404,E404&gt;45),AND(BK404&lt;-20,U404&gt;T404,E404&lt;55)))),"GOOD","")</f>
        <v/>
      </c>
      <c r="BS404" s="21"/>
    </row>
    <row r="405" spans="4:71" ht="17.25" x14ac:dyDescent="0.3">
      <c r="D405" s="8" t="str">
        <f>IF(ISBLANK(T405),"",CONCATENATE(T405,"-",U405))</f>
        <v/>
      </c>
      <c r="BL405">
        <f>IF(NOT(ISBLANK(G405)),ABS(G405),0)</f>
        <v>0</v>
      </c>
      <c r="BM405">
        <f>IF(NOT(ISBLANK(AK405)),ABS(AK405),0)</f>
        <v>0</v>
      </c>
      <c r="BN405">
        <f>IF(NOT(ISBLANK(AX405)),ABS(AX405),0)</f>
        <v>0</v>
      </c>
      <c r="BO405">
        <f>IF(NOT(ISBLANK(BK405)),ABS(BK405),0)</f>
        <v>0</v>
      </c>
      <c r="BP405">
        <f>IF(ISBLANK(E405),0,ABS(E405-50))</f>
        <v>0</v>
      </c>
      <c r="BQ405" s="21" t="str">
        <f>IF(OR(ISBLANK(V405),ISBLANK(W405)),"",IF(SUM(V405,W405)=0,"",CONCATENATE(V405,"-",W405)))</f>
        <v/>
      </c>
      <c r="BR405" s="21" t="str">
        <f>IF(OR(AND(OR(AND(A405&gt;75,X405="Final Handicap"),AND(A405&gt;25,X405="1st half Handicap")),OR(AND(G405&gt;20,U405&lt;T405,E405&gt;45),AND(G405&lt;-20,U405&gt;T405,E405&lt;55))),AND(AND(A405-Y405&lt;200,A405-Y405&gt;9),OR(AND(A405&gt;75,X405="Final Handicap"),AND(A405&gt;25,X405="1st half Handicap")),OR(AND(AK405&gt;20,U405&lt;T405,E405&gt;45),AND(AK405&lt;-20,U405&gt;T405,E405&lt;55))),AND(AND(A405-AL405&lt;200,A405-AL405&gt;9),OR(AND(A405&gt;75,X405="Final Handicap"),AND(A405&gt;25,X405="1st half Handicap")),OR(AND(AX405&gt;20,U405&lt;T405,E405&gt;45),AND(AX405&lt;-20,U405&gt;T405,E405&lt;55))),AND(AND(A405-AY405&lt;200,A405-AY405&gt;9),OR(AND(A405&gt;75,X405="Final Handicap"),AND(A405&gt;25,X405="1st half Handicap")),OR(AND(BK405&gt;20,U405&lt;T405,E405&gt;45),AND(BK405&lt;-20,U405&gt;T405,E405&lt;55)))),"GOOD","")</f>
        <v/>
      </c>
      <c r="BS405" s="21"/>
    </row>
    <row r="406" spans="4:71" ht="17.25" x14ac:dyDescent="0.3">
      <c r="D406" s="8" t="str">
        <f>IF(ISBLANK(T406),"",CONCATENATE(T406,"-",U406))</f>
        <v/>
      </c>
      <c r="BL406">
        <f>IF(NOT(ISBLANK(G406)),ABS(G406),0)</f>
        <v>0</v>
      </c>
      <c r="BM406">
        <f>IF(NOT(ISBLANK(AK406)),ABS(AK406),0)</f>
        <v>0</v>
      </c>
      <c r="BN406">
        <f>IF(NOT(ISBLANK(AX406)),ABS(AX406),0)</f>
        <v>0</v>
      </c>
      <c r="BO406">
        <f>IF(NOT(ISBLANK(BK406)),ABS(BK406),0)</f>
        <v>0</v>
      </c>
      <c r="BP406">
        <f>IF(ISBLANK(E406),0,ABS(E406-50))</f>
        <v>0</v>
      </c>
      <c r="BQ406" s="21" t="str">
        <f>IF(OR(ISBLANK(V406),ISBLANK(W406)),"",IF(SUM(V406,W406)=0,"",CONCATENATE(V406,"-",W406)))</f>
        <v/>
      </c>
      <c r="BR406" s="21" t="str">
        <f>IF(OR(AND(OR(AND(A406&gt;75,X406="Final Handicap"),AND(A406&gt;25,X406="1st half Handicap")),OR(AND(G406&gt;20,U406&lt;T406,E406&gt;45),AND(G406&lt;-20,U406&gt;T406,E406&lt;55))),AND(AND(A406-Y406&lt;200,A406-Y406&gt;9),OR(AND(A406&gt;75,X406="Final Handicap"),AND(A406&gt;25,X406="1st half Handicap")),OR(AND(AK406&gt;20,U406&lt;T406,E406&gt;45),AND(AK406&lt;-20,U406&gt;T406,E406&lt;55))),AND(AND(A406-AL406&lt;200,A406-AL406&gt;9),OR(AND(A406&gt;75,X406="Final Handicap"),AND(A406&gt;25,X406="1st half Handicap")),OR(AND(AX406&gt;20,U406&lt;T406,E406&gt;45),AND(AX406&lt;-20,U406&gt;T406,E406&lt;55))),AND(AND(A406-AY406&lt;200,A406-AY406&gt;9),OR(AND(A406&gt;75,X406="Final Handicap"),AND(A406&gt;25,X406="1st half Handicap")),OR(AND(BK406&gt;20,U406&lt;T406,E406&gt;45),AND(BK406&lt;-20,U406&gt;T406,E406&lt;55)))),"GOOD","")</f>
        <v/>
      </c>
      <c r="BS406" s="21"/>
    </row>
    <row r="407" spans="4:71" ht="17.25" x14ac:dyDescent="0.3">
      <c r="D407" s="8" t="str">
        <f>IF(ISBLANK(T407),"",CONCATENATE(T407,"-",U407))</f>
        <v/>
      </c>
      <c r="BL407">
        <f>IF(NOT(ISBLANK(G407)),ABS(G407),0)</f>
        <v>0</v>
      </c>
      <c r="BM407">
        <f>IF(NOT(ISBLANK(AK407)),ABS(AK407),0)</f>
        <v>0</v>
      </c>
      <c r="BN407">
        <f>IF(NOT(ISBLANK(AX407)),ABS(AX407),0)</f>
        <v>0</v>
      </c>
      <c r="BO407">
        <f>IF(NOT(ISBLANK(BK407)),ABS(BK407),0)</f>
        <v>0</v>
      </c>
      <c r="BP407">
        <f>IF(ISBLANK(E407),0,ABS(E407-50))</f>
        <v>0</v>
      </c>
      <c r="BQ407" s="21" t="str">
        <f>IF(OR(ISBLANK(V407),ISBLANK(W407)),"",IF(SUM(V407,W407)=0,"",CONCATENATE(V407,"-",W407)))</f>
        <v/>
      </c>
      <c r="BR407" s="21" t="str">
        <f>IF(OR(AND(OR(AND(A407&gt;75,X407="Final Handicap"),AND(A407&gt;25,X407="1st half Handicap")),OR(AND(G407&gt;20,U407&lt;T407,E407&gt;45),AND(G407&lt;-20,U407&gt;T407,E407&lt;55))),AND(AND(A407-Y407&lt;200,A407-Y407&gt;9),OR(AND(A407&gt;75,X407="Final Handicap"),AND(A407&gt;25,X407="1st half Handicap")),OR(AND(AK407&gt;20,U407&lt;T407,E407&gt;45),AND(AK407&lt;-20,U407&gt;T407,E407&lt;55))),AND(AND(A407-AL407&lt;200,A407-AL407&gt;9),OR(AND(A407&gt;75,X407="Final Handicap"),AND(A407&gt;25,X407="1st half Handicap")),OR(AND(AX407&gt;20,U407&lt;T407,E407&gt;45),AND(AX407&lt;-20,U407&gt;T407,E407&lt;55))),AND(AND(A407-AY407&lt;200,A407-AY407&gt;9),OR(AND(A407&gt;75,X407="Final Handicap"),AND(A407&gt;25,X407="1st half Handicap")),OR(AND(BK407&gt;20,U407&lt;T407,E407&gt;45),AND(BK407&lt;-20,U407&gt;T407,E407&lt;55)))),"GOOD","")</f>
        <v/>
      </c>
      <c r="BS407" s="21"/>
    </row>
    <row r="408" spans="4:71" ht="17.25" x14ac:dyDescent="0.3">
      <c r="D408" s="8" t="str">
        <f>IF(ISBLANK(T408),"",CONCATENATE(T408,"-",U408))</f>
        <v/>
      </c>
      <c r="BL408">
        <f>IF(NOT(ISBLANK(G408)),ABS(G408),0)</f>
        <v>0</v>
      </c>
      <c r="BM408">
        <f>IF(NOT(ISBLANK(AK408)),ABS(AK408),0)</f>
        <v>0</v>
      </c>
      <c r="BN408">
        <f>IF(NOT(ISBLANK(AX408)),ABS(AX408),0)</f>
        <v>0</v>
      </c>
      <c r="BO408">
        <f>IF(NOT(ISBLANK(BK408)),ABS(BK408),0)</f>
        <v>0</v>
      </c>
      <c r="BP408">
        <f>IF(ISBLANK(E408),0,ABS(E408-50))</f>
        <v>0</v>
      </c>
      <c r="BQ408" s="21" t="str">
        <f>IF(OR(ISBLANK(V408),ISBLANK(W408)),"",IF(SUM(V408,W408)=0,"",CONCATENATE(V408,"-",W408)))</f>
        <v/>
      </c>
      <c r="BR408" s="21" t="str">
        <f>IF(OR(AND(OR(AND(A408&gt;75,X408="Final Handicap"),AND(A408&gt;25,X408="1st half Handicap")),OR(AND(G408&gt;20,U408&lt;T408,E408&gt;45),AND(G408&lt;-20,U408&gt;T408,E408&lt;55))),AND(AND(A408-Y408&lt;200,A408-Y408&gt;9),OR(AND(A408&gt;75,X408="Final Handicap"),AND(A408&gt;25,X408="1st half Handicap")),OR(AND(AK408&gt;20,U408&lt;T408,E408&gt;45),AND(AK408&lt;-20,U408&gt;T408,E408&lt;55))),AND(AND(A408-AL408&lt;200,A408-AL408&gt;9),OR(AND(A408&gt;75,X408="Final Handicap"),AND(A408&gt;25,X408="1st half Handicap")),OR(AND(AX408&gt;20,U408&lt;T408,E408&gt;45),AND(AX408&lt;-20,U408&gt;T408,E408&lt;55))),AND(AND(A408-AY408&lt;200,A408-AY408&gt;9),OR(AND(A408&gt;75,X408="Final Handicap"),AND(A408&gt;25,X408="1st half Handicap")),OR(AND(BK408&gt;20,U408&lt;T408,E408&gt;45),AND(BK408&lt;-20,U408&gt;T408,E408&lt;55)))),"GOOD","")</f>
        <v/>
      </c>
      <c r="BS408" s="21"/>
    </row>
    <row r="409" spans="4:71" ht="17.25" x14ac:dyDescent="0.3">
      <c r="D409" s="8" t="str">
        <f>IF(ISBLANK(T409),"",CONCATENATE(T409,"-",U409))</f>
        <v/>
      </c>
      <c r="BL409">
        <f>IF(NOT(ISBLANK(G409)),ABS(G409),0)</f>
        <v>0</v>
      </c>
      <c r="BM409">
        <f>IF(NOT(ISBLANK(AK409)),ABS(AK409),0)</f>
        <v>0</v>
      </c>
      <c r="BN409">
        <f>IF(NOT(ISBLANK(AX409)),ABS(AX409),0)</f>
        <v>0</v>
      </c>
      <c r="BO409">
        <f>IF(NOT(ISBLANK(BK409)),ABS(BK409),0)</f>
        <v>0</v>
      </c>
      <c r="BP409">
        <f>IF(ISBLANK(E409),0,ABS(E409-50))</f>
        <v>0</v>
      </c>
      <c r="BQ409" s="21" t="str">
        <f>IF(OR(ISBLANK(V409),ISBLANK(W409)),"",IF(SUM(V409,W409)=0,"",CONCATENATE(V409,"-",W409)))</f>
        <v/>
      </c>
      <c r="BR409" s="21" t="str">
        <f>IF(OR(AND(OR(AND(A409&gt;75,X409="Final Handicap"),AND(A409&gt;25,X409="1st half Handicap")),OR(AND(G409&gt;20,U409&lt;T409,E409&gt;45),AND(G409&lt;-20,U409&gt;T409,E409&lt;55))),AND(AND(A409-Y409&lt;200,A409-Y409&gt;9),OR(AND(A409&gt;75,X409="Final Handicap"),AND(A409&gt;25,X409="1st half Handicap")),OR(AND(AK409&gt;20,U409&lt;T409,E409&gt;45),AND(AK409&lt;-20,U409&gt;T409,E409&lt;55))),AND(AND(A409-AL409&lt;200,A409-AL409&gt;9),OR(AND(A409&gt;75,X409="Final Handicap"),AND(A409&gt;25,X409="1st half Handicap")),OR(AND(AX409&gt;20,U409&lt;T409,E409&gt;45),AND(AX409&lt;-20,U409&gt;T409,E409&lt;55))),AND(AND(A409-AY409&lt;200,A409-AY409&gt;9),OR(AND(A409&gt;75,X409="Final Handicap"),AND(A409&gt;25,X409="1st half Handicap")),OR(AND(BK409&gt;20,U409&lt;T409,E409&gt;45),AND(BK409&lt;-20,U409&gt;T409,E409&lt;55)))),"GOOD","")</f>
        <v/>
      </c>
      <c r="BS409" s="21"/>
    </row>
    <row r="410" spans="4:71" ht="17.25" x14ac:dyDescent="0.3">
      <c r="D410" s="8" t="str">
        <f>IF(ISBLANK(T410),"",CONCATENATE(T410,"-",U410))</f>
        <v/>
      </c>
      <c r="BL410">
        <f>IF(NOT(ISBLANK(G410)),ABS(G410),0)</f>
        <v>0</v>
      </c>
      <c r="BM410">
        <f>IF(NOT(ISBLANK(AK410)),ABS(AK410),0)</f>
        <v>0</v>
      </c>
      <c r="BN410">
        <f>IF(NOT(ISBLANK(AX410)),ABS(AX410),0)</f>
        <v>0</v>
      </c>
      <c r="BO410">
        <f>IF(NOT(ISBLANK(BK410)),ABS(BK410),0)</f>
        <v>0</v>
      </c>
      <c r="BP410">
        <f>IF(ISBLANK(E410),0,ABS(E410-50))</f>
        <v>0</v>
      </c>
      <c r="BQ410" s="21" t="str">
        <f>IF(OR(ISBLANK(V410),ISBLANK(W410)),"",IF(SUM(V410,W410)=0,"",CONCATENATE(V410,"-",W410)))</f>
        <v/>
      </c>
      <c r="BR410" s="21" t="str">
        <f>IF(OR(AND(OR(AND(A410&gt;75,X410="Final Handicap"),AND(A410&gt;25,X410="1st half Handicap")),OR(AND(G410&gt;20,U410&lt;T410,E410&gt;45),AND(G410&lt;-20,U410&gt;T410,E410&lt;55))),AND(AND(A410-Y410&lt;200,A410-Y410&gt;9),OR(AND(A410&gt;75,X410="Final Handicap"),AND(A410&gt;25,X410="1st half Handicap")),OR(AND(AK410&gt;20,U410&lt;T410,E410&gt;45),AND(AK410&lt;-20,U410&gt;T410,E410&lt;55))),AND(AND(A410-AL410&lt;200,A410-AL410&gt;9),OR(AND(A410&gt;75,X410="Final Handicap"),AND(A410&gt;25,X410="1st half Handicap")),OR(AND(AX410&gt;20,U410&lt;T410,E410&gt;45),AND(AX410&lt;-20,U410&gt;T410,E410&lt;55))),AND(AND(A410-AY410&lt;200,A410-AY410&gt;9),OR(AND(A410&gt;75,X410="Final Handicap"),AND(A410&gt;25,X410="1st half Handicap")),OR(AND(BK410&gt;20,U410&lt;T410,E410&gt;45),AND(BK410&lt;-20,U410&gt;T410,E410&lt;55)))),"GOOD","")</f>
        <v/>
      </c>
      <c r="BS410" s="21"/>
    </row>
    <row r="411" spans="4:71" ht="17.25" x14ac:dyDescent="0.3">
      <c r="D411" s="8" t="str">
        <f>IF(ISBLANK(T411),"",CONCATENATE(T411,"-",U411))</f>
        <v/>
      </c>
      <c r="BL411">
        <f>IF(NOT(ISBLANK(G411)),ABS(G411),0)</f>
        <v>0</v>
      </c>
      <c r="BM411">
        <f>IF(NOT(ISBLANK(AK411)),ABS(AK411),0)</f>
        <v>0</v>
      </c>
      <c r="BN411">
        <f>IF(NOT(ISBLANK(AX411)),ABS(AX411),0)</f>
        <v>0</v>
      </c>
      <c r="BO411">
        <f>IF(NOT(ISBLANK(BK411)),ABS(BK411),0)</f>
        <v>0</v>
      </c>
      <c r="BP411">
        <f>IF(ISBLANK(E411),0,ABS(E411-50))</f>
        <v>0</v>
      </c>
      <c r="BQ411" s="21" t="str">
        <f>IF(OR(ISBLANK(V411),ISBLANK(W411)),"",IF(SUM(V411,W411)=0,"",CONCATENATE(V411,"-",W411)))</f>
        <v/>
      </c>
      <c r="BR411" s="21" t="str">
        <f>IF(OR(AND(OR(AND(A411&gt;75,X411="Final Handicap"),AND(A411&gt;25,X411="1st half Handicap")),OR(AND(G411&gt;20,U411&lt;T411,E411&gt;45),AND(G411&lt;-20,U411&gt;T411,E411&lt;55))),AND(AND(A411-Y411&lt;200,A411-Y411&gt;9),OR(AND(A411&gt;75,X411="Final Handicap"),AND(A411&gt;25,X411="1st half Handicap")),OR(AND(AK411&gt;20,U411&lt;T411,E411&gt;45),AND(AK411&lt;-20,U411&gt;T411,E411&lt;55))),AND(AND(A411-AL411&lt;200,A411-AL411&gt;9),OR(AND(A411&gt;75,X411="Final Handicap"),AND(A411&gt;25,X411="1st half Handicap")),OR(AND(AX411&gt;20,U411&lt;T411,E411&gt;45),AND(AX411&lt;-20,U411&gt;T411,E411&lt;55))),AND(AND(A411-AY411&lt;200,A411-AY411&gt;9),OR(AND(A411&gt;75,X411="Final Handicap"),AND(A411&gt;25,X411="1st half Handicap")),OR(AND(BK411&gt;20,U411&lt;T411,E411&gt;45),AND(BK411&lt;-20,U411&gt;T411,E411&lt;55)))),"GOOD","")</f>
        <v/>
      </c>
      <c r="BS411" s="21"/>
    </row>
    <row r="412" spans="4:71" ht="17.25" x14ac:dyDescent="0.3">
      <c r="D412" s="8" t="str">
        <f>IF(ISBLANK(T412),"",CONCATENATE(T412,"-",U412))</f>
        <v/>
      </c>
      <c r="BL412">
        <f>IF(NOT(ISBLANK(G412)),ABS(G412),0)</f>
        <v>0</v>
      </c>
      <c r="BM412">
        <f>IF(NOT(ISBLANK(AK412)),ABS(AK412),0)</f>
        <v>0</v>
      </c>
      <c r="BN412">
        <f>IF(NOT(ISBLANK(AX412)),ABS(AX412),0)</f>
        <v>0</v>
      </c>
      <c r="BO412">
        <f>IF(NOT(ISBLANK(BK412)),ABS(BK412),0)</f>
        <v>0</v>
      </c>
      <c r="BP412">
        <f>IF(ISBLANK(E412),0,ABS(E412-50))</f>
        <v>0</v>
      </c>
      <c r="BQ412" s="21" t="str">
        <f>IF(OR(ISBLANK(V412),ISBLANK(W412)),"",IF(SUM(V412,W412)=0,"",CONCATENATE(V412,"-",W412)))</f>
        <v/>
      </c>
      <c r="BR412" s="21" t="str">
        <f>IF(OR(AND(OR(AND(A412&gt;75,X412="Final Handicap"),AND(A412&gt;25,X412="1st half Handicap")),OR(AND(G412&gt;20,U412&lt;T412,E412&gt;45),AND(G412&lt;-20,U412&gt;T412,E412&lt;55))),AND(AND(A412-Y412&lt;200,A412-Y412&gt;9),OR(AND(A412&gt;75,X412="Final Handicap"),AND(A412&gt;25,X412="1st half Handicap")),OR(AND(AK412&gt;20,U412&lt;T412,E412&gt;45),AND(AK412&lt;-20,U412&gt;T412,E412&lt;55))),AND(AND(A412-AL412&lt;200,A412-AL412&gt;9),OR(AND(A412&gt;75,X412="Final Handicap"),AND(A412&gt;25,X412="1st half Handicap")),OR(AND(AX412&gt;20,U412&lt;T412,E412&gt;45),AND(AX412&lt;-20,U412&gt;T412,E412&lt;55))),AND(AND(A412-AY412&lt;200,A412-AY412&gt;9),OR(AND(A412&gt;75,X412="Final Handicap"),AND(A412&gt;25,X412="1st half Handicap")),OR(AND(BK412&gt;20,U412&lt;T412,E412&gt;45),AND(BK412&lt;-20,U412&gt;T412,E412&lt;55)))),"GOOD","")</f>
        <v/>
      </c>
      <c r="BS412" s="21"/>
    </row>
    <row r="413" spans="4:71" ht="17.25" x14ac:dyDescent="0.3">
      <c r="D413" s="8" t="str">
        <f>IF(ISBLANK(T413),"",CONCATENATE(T413,"-",U413))</f>
        <v/>
      </c>
      <c r="BL413">
        <f>IF(NOT(ISBLANK(G413)),ABS(G413),0)</f>
        <v>0</v>
      </c>
      <c r="BM413">
        <f>IF(NOT(ISBLANK(AK413)),ABS(AK413),0)</f>
        <v>0</v>
      </c>
      <c r="BN413">
        <f>IF(NOT(ISBLANK(AX413)),ABS(AX413),0)</f>
        <v>0</v>
      </c>
      <c r="BO413">
        <f>IF(NOT(ISBLANK(BK413)),ABS(BK413),0)</f>
        <v>0</v>
      </c>
      <c r="BP413">
        <f>IF(ISBLANK(E413),0,ABS(E413-50))</f>
        <v>0</v>
      </c>
      <c r="BQ413" s="21" t="str">
        <f>IF(OR(ISBLANK(V413),ISBLANK(W413)),"",IF(SUM(V413,W413)=0,"",CONCATENATE(V413,"-",W413)))</f>
        <v/>
      </c>
      <c r="BR413" s="21" t="str">
        <f>IF(OR(AND(OR(AND(A413&gt;75,X413="Final Handicap"),AND(A413&gt;25,X413="1st half Handicap")),OR(AND(G413&gt;20,U413&lt;T413,E413&gt;45),AND(G413&lt;-20,U413&gt;T413,E413&lt;55))),AND(AND(A413-Y413&lt;200,A413-Y413&gt;9),OR(AND(A413&gt;75,X413="Final Handicap"),AND(A413&gt;25,X413="1st half Handicap")),OR(AND(AK413&gt;20,U413&lt;T413,E413&gt;45),AND(AK413&lt;-20,U413&gt;T413,E413&lt;55))),AND(AND(A413-AL413&lt;200,A413-AL413&gt;9),OR(AND(A413&gt;75,X413="Final Handicap"),AND(A413&gt;25,X413="1st half Handicap")),OR(AND(AX413&gt;20,U413&lt;T413,E413&gt;45),AND(AX413&lt;-20,U413&gt;T413,E413&lt;55))),AND(AND(A413-AY413&lt;200,A413-AY413&gt;9),OR(AND(A413&gt;75,X413="Final Handicap"),AND(A413&gt;25,X413="1st half Handicap")),OR(AND(BK413&gt;20,U413&lt;T413,E413&gt;45),AND(BK413&lt;-20,U413&gt;T413,E413&lt;55)))),"GOOD","")</f>
        <v/>
      </c>
      <c r="BS413" s="21"/>
    </row>
    <row r="414" spans="4:71" ht="17.25" x14ac:dyDescent="0.3">
      <c r="D414" s="8" t="str">
        <f>IF(ISBLANK(T414),"",CONCATENATE(T414,"-",U414))</f>
        <v/>
      </c>
      <c r="BL414">
        <f>IF(NOT(ISBLANK(G414)),ABS(G414),0)</f>
        <v>0</v>
      </c>
      <c r="BM414">
        <f>IF(NOT(ISBLANK(AK414)),ABS(AK414),0)</f>
        <v>0</v>
      </c>
      <c r="BN414">
        <f>IF(NOT(ISBLANK(AX414)),ABS(AX414),0)</f>
        <v>0</v>
      </c>
      <c r="BO414">
        <f>IF(NOT(ISBLANK(BK414)),ABS(BK414),0)</f>
        <v>0</v>
      </c>
      <c r="BP414">
        <f>IF(ISBLANK(E414),0,ABS(E414-50))</f>
        <v>0</v>
      </c>
      <c r="BQ414" s="21" t="str">
        <f>IF(OR(ISBLANK(V414),ISBLANK(W414)),"",IF(SUM(V414,W414)=0,"",CONCATENATE(V414,"-",W414)))</f>
        <v/>
      </c>
      <c r="BR414" s="21" t="str">
        <f>IF(OR(AND(OR(AND(A414&gt;75,X414="Final Handicap"),AND(A414&gt;25,X414="1st half Handicap")),OR(AND(G414&gt;20,U414&lt;T414,E414&gt;45),AND(G414&lt;-20,U414&gt;T414,E414&lt;55))),AND(AND(A414-Y414&lt;200,A414-Y414&gt;9),OR(AND(A414&gt;75,X414="Final Handicap"),AND(A414&gt;25,X414="1st half Handicap")),OR(AND(AK414&gt;20,U414&lt;T414,E414&gt;45),AND(AK414&lt;-20,U414&gt;T414,E414&lt;55))),AND(AND(A414-AL414&lt;200,A414-AL414&gt;9),OR(AND(A414&gt;75,X414="Final Handicap"),AND(A414&gt;25,X414="1st half Handicap")),OR(AND(AX414&gt;20,U414&lt;T414,E414&gt;45),AND(AX414&lt;-20,U414&gt;T414,E414&lt;55))),AND(AND(A414-AY414&lt;200,A414-AY414&gt;9),OR(AND(A414&gt;75,X414="Final Handicap"),AND(A414&gt;25,X414="1st half Handicap")),OR(AND(BK414&gt;20,U414&lt;T414,E414&gt;45),AND(BK414&lt;-20,U414&gt;T414,E414&lt;55)))),"GOOD","")</f>
        <v/>
      </c>
      <c r="BS414" s="21"/>
    </row>
    <row r="415" spans="4:71" ht="17.25" x14ac:dyDescent="0.3">
      <c r="D415" s="8" t="str">
        <f>IF(ISBLANK(T415),"",CONCATENATE(T415,"-",U415))</f>
        <v/>
      </c>
      <c r="BL415">
        <f>IF(NOT(ISBLANK(G415)),ABS(G415),0)</f>
        <v>0</v>
      </c>
      <c r="BM415">
        <f>IF(NOT(ISBLANK(AK415)),ABS(AK415),0)</f>
        <v>0</v>
      </c>
      <c r="BN415">
        <f>IF(NOT(ISBLANK(AX415)),ABS(AX415),0)</f>
        <v>0</v>
      </c>
      <c r="BO415">
        <f>IF(NOT(ISBLANK(BK415)),ABS(BK415),0)</f>
        <v>0</v>
      </c>
      <c r="BP415">
        <f>IF(ISBLANK(E415),0,ABS(E415-50))</f>
        <v>0</v>
      </c>
      <c r="BQ415" s="21" t="str">
        <f>IF(OR(ISBLANK(V415),ISBLANK(W415)),"",IF(SUM(V415,W415)=0,"",CONCATENATE(V415,"-",W415)))</f>
        <v/>
      </c>
      <c r="BR415" s="21" t="str">
        <f>IF(OR(AND(OR(AND(A415&gt;75,X415="Final Handicap"),AND(A415&gt;25,X415="1st half Handicap")),OR(AND(G415&gt;20,U415&lt;T415,E415&gt;45),AND(G415&lt;-20,U415&gt;T415,E415&lt;55))),AND(AND(A415-Y415&lt;200,A415-Y415&gt;9),OR(AND(A415&gt;75,X415="Final Handicap"),AND(A415&gt;25,X415="1st half Handicap")),OR(AND(AK415&gt;20,U415&lt;T415,E415&gt;45),AND(AK415&lt;-20,U415&gt;T415,E415&lt;55))),AND(AND(A415-AL415&lt;200,A415-AL415&gt;9),OR(AND(A415&gt;75,X415="Final Handicap"),AND(A415&gt;25,X415="1st half Handicap")),OR(AND(AX415&gt;20,U415&lt;T415,E415&gt;45),AND(AX415&lt;-20,U415&gt;T415,E415&lt;55))),AND(AND(A415-AY415&lt;200,A415-AY415&gt;9),OR(AND(A415&gt;75,X415="Final Handicap"),AND(A415&gt;25,X415="1st half Handicap")),OR(AND(BK415&gt;20,U415&lt;T415,E415&gt;45),AND(BK415&lt;-20,U415&gt;T415,E415&lt;55)))),"GOOD","")</f>
        <v/>
      </c>
      <c r="BS415" s="21"/>
    </row>
    <row r="416" spans="4:71" ht="17.25" x14ac:dyDescent="0.3">
      <c r="D416" s="8" t="str">
        <f>IF(ISBLANK(T416),"",CONCATENATE(T416,"-",U416))</f>
        <v/>
      </c>
      <c r="BL416">
        <f>IF(NOT(ISBLANK(G416)),ABS(G416),0)</f>
        <v>0</v>
      </c>
      <c r="BM416">
        <f>IF(NOT(ISBLANK(AK416)),ABS(AK416),0)</f>
        <v>0</v>
      </c>
      <c r="BN416">
        <f>IF(NOT(ISBLANK(AX416)),ABS(AX416),0)</f>
        <v>0</v>
      </c>
      <c r="BO416">
        <f>IF(NOT(ISBLANK(BK416)),ABS(BK416),0)</f>
        <v>0</v>
      </c>
      <c r="BP416">
        <f>IF(ISBLANK(E416),0,ABS(E416-50))</f>
        <v>0</v>
      </c>
      <c r="BQ416" s="21" t="str">
        <f>IF(OR(ISBLANK(V416),ISBLANK(W416)),"",IF(SUM(V416,W416)=0,"",CONCATENATE(V416,"-",W416)))</f>
        <v/>
      </c>
      <c r="BR416" s="21" t="str">
        <f>IF(OR(AND(OR(AND(A416&gt;75,X416="Final Handicap"),AND(A416&gt;25,X416="1st half Handicap")),OR(AND(G416&gt;20,U416&lt;T416,E416&gt;45),AND(G416&lt;-20,U416&gt;T416,E416&lt;55))),AND(AND(A416-Y416&lt;200,A416-Y416&gt;9),OR(AND(A416&gt;75,X416="Final Handicap"),AND(A416&gt;25,X416="1st half Handicap")),OR(AND(AK416&gt;20,U416&lt;T416,E416&gt;45),AND(AK416&lt;-20,U416&gt;T416,E416&lt;55))),AND(AND(A416-AL416&lt;200,A416-AL416&gt;9),OR(AND(A416&gt;75,X416="Final Handicap"),AND(A416&gt;25,X416="1st half Handicap")),OR(AND(AX416&gt;20,U416&lt;T416,E416&gt;45),AND(AX416&lt;-20,U416&gt;T416,E416&lt;55))),AND(AND(A416-AY416&lt;200,A416-AY416&gt;9),OR(AND(A416&gt;75,X416="Final Handicap"),AND(A416&gt;25,X416="1st half Handicap")),OR(AND(BK416&gt;20,U416&lt;T416,E416&gt;45),AND(BK416&lt;-20,U416&gt;T416,E416&lt;55)))),"GOOD","")</f>
        <v/>
      </c>
      <c r="BS416" s="21"/>
    </row>
    <row r="417" spans="4:71" ht="17.25" x14ac:dyDescent="0.3">
      <c r="D417" s="8" t="str">
        <f>IF(ISBLANK(T417),"",CONCATENATE(T417,"-",U417))</f>
        <v/>
      </c>
      <c r="BL417">
        <f>IF(NOT(ISBLANK(G417)),ABS(G417),0)</f>
        <v>0</v>
      </c>
      <c r="BM417">
        <f>IF(NOT(ISBLANK(AK417)),ABS(AK417),0)</f>
        <v>0</v>
      </c>
      <c r="BN417">
        <f>IF(NOT(ISBLANK(AX417)),ABS(AX417),0)</f>
        <v>0</v>
      </c>
      <c r="BO417">
        <f>IF(NOT(ISBLANK(BK417)),ABS(BK417),0)</f>
        <v>0</v>
      </c>
      <c r="BP417">
        <f>IF(ISBLANK(E417),0,ABS(E417-50))</f>
        <v>0</v>
      </c>
      <c r="BQ417" s="21" t="str">
        <f>IF(OR(ISBLANK(V417),ISBLANK(W417)),"",IF(SUM(V417,W417)=0,"",CONCATENATE(V417,"-",W417)))</f>
        <v/>
      </c>
      <c r="BR417" s="21" t="str">
        <f>IF(OR(AND(OR(AND(A417&gt;75,X417="Final Handicap"),AND(A417&gt;25,X417="1st half Handicap")),OR(AND(G417&gt;20,U417&lt;T417,E417&gt;45),AND(G417&lt;-20,U417&gt;T417,E417&lt;55))),AND(AND(A417-Y417&lt;200,A417-Y417&gt;9),OR(AND(A417&gt;75,X417="Final Handicap"),AND(A417&gt;25,X417="1st half Handicap")),OR(AND(AK417&gt;20,U417&lt;T417,E417&gt;45),AND(AK417&lt;-20,U417&gt;T417,E417&lt;55))),AND(AND(A417-AL417&lt;200,A417-AL417&gt;9),OR(AND(A417&gt;75,X417="Final Handicap"),AND(A417&gt;25,X417="1st half Handicap")),OR(AND(AX417&gt;20,U417&lt;T417,E417&gt;45),AND(AX417&lt;-20,U417&gt;T417,E417&lt;55))),AND(AND(A417-AY417&lt;200,A417-AY417&gt;9),OR(AND(A417&gt;75,X417="Final Handicap"),AND(A417&gt;25,X417="1st half Handicap")),OR(AND(BK417&gt;20,U417&lt;T417,E417&gt;45),AND(BK417&lt;-20,U417&gt;T417,E417&lt;55)))),"GOOD","")</f>
        <v/>
      </c>
      <c r="BS417" s="21"/>
    </row>
    <row r="418" spans="4:71" ht="17.25" x14ac:dyDescent="0.3">
      <c r="D418" s="8" t="str">
        <f>IF(ISBLANK(T418),"",CONCATENATE(T418,"-",U418))</f>
        <v/>
      </c>
      <c r="BL418">
        <f>IF(NOT(ISBLANK(G418)),ABS(G418),0)</f>
        <v>0</v>
      </c>
      <c r="BM418">
        <f>IF(NOT(ISBLANK(AK418)),ABS(AK418),0)</f>
        <v>0</v>
      </c>
      <c r="BN418">
        <f>IF(NOT(ISBLANK(AX418)),ABS(AX418),0)</f>
        <v>0</v>
      </c>
      <c r="BO418">
        <f>IF(NOT(ISBLANK(BK418)),ABS(BK418),0)</f>
        <v>0</v>
      </c>
      <c r="BP418">
        <f>IF(ISBLANK(E418),0,ABS(E418-50))</f>
        <v>0</v>
      </c>
      <c r="BQ418" s="21" t="str">
        <f>IF(OR(ISBLANK(V418),ISBLANK(W418)),"",IF(SUM(V418,W418)=0,"",CONCATENATE(V418,"-",W418)))</f>
        <v/>
      </c>
      <c r="BR418" s="21" t="str">
        <f>IF(OR(AND(OR(AND(A418&gt;75,X418="Final Handicap"),AND(A418&gt;25,X418="1st half Handicap")),OR(AND(G418&gt;20,U418&lt;T418,E418&gt;45),AND(G418&lt;-20,U418&gt;T418,E418&lt;55))),AND(AND(A418-Y418&lt;200,A418-Y418&gt;9),OR(AND(A418&gt;75,X418="Final Handicap"),AND(A418&gt;25,X418="1st half Handicap")),OR(AND(AK418&gt;20,U418&lt;T418,E418&gt;45),AND(AK418&lt;-20,U418&gt;T418,E418&lt;55))),AND(AND(A418-AL418&lt;200,A418-AL418&gt;9),OR(AND(A418&gt;75,X418="Final Handicap"),AND(A418&gt;25,X418="1st half Handicap")),OR(AND(AX418&gt;20,U418&lt;T418,E418&gt;45),AND(AX418&lt;-20,U418&gt;T418,E418&lt;55))),AND(AND(A418-AY418&lt;200,A418-AY418&gt;9),OR(AND(A418&gt;75,X418="Final Handicap"),AND(A418&gt;25,X418="1st half Handicap")),OR(AND(BK418&gt;20,U418&lt;T418,E418&gt;45),AND(BK418&lt;-20,U418&gt;T418,E418&lt;55)))),"GOOD","")</f>
        <v/>
      </c>
      <c r="BS418" s="21"/>
    </row>
    <row r="419" spans="4:71" ht="17.25" x14ac:dyDescent="0.3">
      <c r="D419" s="8" t="str">
        <f>IF(ISBLANK(T419),"",CONCATENATE(T419,"-",U419))</f>
        <v/>
      </c>
      <c r="BL419">
        <f>IF(NOT(ISBLANK(G419)),ABS(G419),0)</f>
        <v>0</v>
      </c>
      <c r="BM419">
        <f>IF(NOT(ISBLANK(AK419)),ABS(AK419),0)</f>
        <v>0</v>
      </c>
      <c r="BN419">
        <f>IF(NOT(ISBLANK(AX419)),ABS(AX419),0)</f>
        <v>0</v>
      </c>
      <c r="BO419">
        <f>IF(NOT(ISBLANK(BK419)),ABS(BK419),0)</f>
        <v>0</v>
      </c>
      <c r="BP419">
        <f>IF(ISBLANK(E419),0,ABS(E419-50))</f>
        <v>0</v>
      </c>
      <c r="BQ419" s="21" t="str">
        <f>IF(OR(ISBLANK(V419),ISBLANK(W419)),"",IF(SUM(V419,W419)=0,"",CONCATENATE(V419,"-",W419)))</f>
        <v/>
      </c>
      <c r="BR419" s="21" t="str">
        <f>IF(OR(AND(OR(AND(A419&gt;75,X419="Final Handicap"),AND(A419&gt;25,X419="1st half Handicap")),OR(AND(G419&gt;20,U419&lt;T419,E419&gt;45),AND(G419&lt;-20,U419&gt;T419,E419&lt;55))),AND(AND(A419-Y419&lt;200,A419-Y419&gt;9),OR(AND(A419&gt;75,X419="Final Handicap"),AND(A419&gt;25,X419="1st half Handicap")),OR(AND(AK419&gt;20,U419&lt;T419,E419&gt;45),AND(AK419&lt;-20,U419&gt;T419,E419&lt;55))),AND(AND(A419-AL419&lt;200,A419-AL419&gt;9),OR(AND(A419&gt;75,X419="Final Handicap"),AND(A419&gt;25,X419="1st half Handicap")),OR(AND(AX419&gt;20,U419&lt;T419,E419&gt;45),AND(AX419&lt;-20,U419&gt;T419,E419&lt;55))),AND(AND(A419-AY419&lt;200,A419-AY419&gt;9),OR(AND(A419&gt;75,X419="Final Handicap"),AND(A419&gt;25,X419="1st half Handicap")),OR(AND(BK419&gt;20,U419&lt;T419,E419&gt;45),AND(BK419&lt;-20,U419&gt;T419,E419&lt;55)))),"GOOD","")</f>
        <v/>
      </c>
      <c r="BS419" s="21"/>
    </row>
    <row r="420" spans="4:71" ht="17.25" x14ac:dyDescent="0.3">
      <c r="D420" s="8" t="str">
        <f>IF(ISBLANK(T420),"",CONCATENATE(T420,"-",U420))</f>
        <v/>
      </c>
      <c r="BL420">
        <f>IF(NOT(ISBLANK(G420)),ABS(G420),0)</f>
        <v>0</v>
      </c>
      <c r="BM420">
        <f>IF(NOT(ISBLANK(AK420)),ABS(AK420),0)</f>
        <v>0</v>
      </c>
      <c r="BN420">
        <f>IF(NOT(ISBLANK(AX420)),ABS(AX420),0)</f>
        <v>0</v>
      </c>
      <c r="BO420">
        <f>IF(NOT(ISBLANK(BK420)),ABS(BK420),0)</f>
        <v>0</v>
      </c>
      <c r="BP420">
        <f>IF(ISBLANK(E420),0,ABS(E420-50))</f>
        <v>0</v>
      </c>
      <c r="BQ420" s="21" t="str">
        <f>IF(OR(ISBLANK(V420),ISBLANK(W420)),"",IF(SUM(V420,W420)=0,"",CONCATENATE(V420,"-",W420)))</f>
        <v/>
      </c>
      <c r="BR420" s="21" t="str">
        <f>IF(OR(AND(OR(AND(A420&gt;75,X420="Final Handicap"),AND(A420&gt;25,X420="1st half Handicap")),OR(AND(G420&gt;20,U420&lt;T420,E420&gt;45),AND(G420&lt;-20,U420&gt;T420,E420&lt;55))),AND(AND(A420-Y420&lt;200,A420-Y420&gt;9),OR(AND(A420&gt;75,X420="Final Handicap"),AND(A420&gt;25,X420="1st half Handicap")),OR(AND(AK420&gt;20,U420&lt;T420,E420&gt;45),AND(AK420&lt;-20,U420&gt;T420,E420&lt;55))),AND(AND(A420-AL420&lt;200,A420-AL420&gt;9),OR(AND(A420&gt;75,X420="Final Handicap"),AND(A420&gt;25,X420="1st half Handicap")),OR(AND(AX420&gt;20,U420&lt;T420,E420&gt;45),AND(AX420&lt;-20,U420&gt;T420,E420&lt;55))),AND(AND(A420-AY420&lt;200,A420-AY420&gt;9),OR(AND(A420&gt;75,X420="Final Handicap"),AND(A420&gt;25,X420="1st half Handicap")),OR(AND(BK420&gt;20,U420&lt;T420,E420&gt;45),AND(BK420&lt;-20,U420&gt;T420,E420&lt;55)))),"GOOD","")</f>
        <v/>
      </c>
      <c r="BS420" s="21"/>
    </row>
    <row r="421" spans="4:71" ht="17.25" x14ac:dyDescent="0.3">
      <c r="D421" s="8" t="str">
        <f>IF(ISBLANK(T421),"",CONCATENATE(T421,"-",U421))</f>
        <v/>
      </c>
      <c r="BL421">
        <f>IF(NOT(ISBLANK(G421)),ABS(G421),0)</f>
        <v>0</v>
      </c>
      <c r="BM421">
        <f>IF(NOT(ISBLANK(AK421)),ABS(AK421),0)</f>
        <v>0</v>
      </c>
      <c r="BN421">
        <f>IF(NOT(ISBLANK(AX421)),ABS(AX421),0)</f>
        <v>0</v>
      </c>
      <c r="BO421">
        <f>IF(NOT(ISBLANK(BK421)),ABS(BK421),0)</f>
        <v>0</v>
      </c>
      <c r="BP421">
        <f>IF(ISBLANK(E421),0,ABS(E421-50))</f>
        <v>0</v>
      </c>
      <c r="BQ421" s="21" t="str">
        <f>IF(OR(ISBLANK(V421),ISBLANK(W421)),"",IF(SUM(V421,W421)=0,"",CONCATENATE(V421,"-",W421)))</f>
        <v/>
      </c>
      <c r="BR421" s="21" t="str">
        <f>IF(OR(AND(OR(AND(A421&gt;75,X421="Final Handicap"),AND(A421&gt;25,X421="1st half Handicap")),OR(AND(G421&gt;20,U421&lt;T421,E421&gt;45),AND(G421&lt;-20,U421&gt;T421,E421&lt;55))),AND(AND(A421-Y421&lt;200,A421-Y421&gt;9),OR(AND(A421&gt;75,X421="Final Handicap"),AND(A421&gt;25,X421="1st half Handicap")),OR(AND(AK421&gt;20,U421&lt;T421,E421&gt;45),AND(AK421&lt;-20,U421&gt;T421,E421&lt;55))),AND(AND(A421-AL421&lt;200,A421-AL421&gt;9),OR(AND(A421&gt;75,X421="Final Handicap"),AND(A421&gt;25,X421="1st half Handicap")),OR(AND(AX421&gt;20,U421&lt;T421,E421&gt;45),AND(AX421&lt;-20,U421&gt;T421,E421&lt;55))),AND(AND(A421-AY421&lt;200,A421-AY421&gt;9),OR(AND(A421&gt;75,X421="Final Handicap"),AND(A421&gt;25,X421="1st half Handicap")),OR(AND(BK421&gt;20,U421&lt;T421,E421&gt;45),AND(BK421&lt;-20,U421&gt;T421,E421&lt;55)))),"GOOD","")</f>
        <v/>
      </c>
      <c r="BS421" s="21"/>
    </row>
    <row r="422" spans="4:71" ht="17.25" x14ac:dyDescent="0.3">
      <c r="D422" s="8" t="str">
        <f>IF(ISBLANK(T422),"",CONCATENATE(T422,"-",U422))</f>
        <v/>
      </c>
      <c r="BL422">
        <f>IF(NOT(ISBLANK(G422)),ABS(G422),0)</f>
        <v>0</v>
      </c>
      <c r="BM422">
        <f>IF(NOT(ISBLANK(AK422)),ABS(AK422),0)</f>
        <v>0</v>
      </c>
      <c r="BN422">
        <f>IF(NOT(ISBLANK(AX422)),ABS(AX422),0)</f>
        <v>0</v>
      </c>
      <c r="BO422">
        <f>IF(NOT(ISBLANK(BK422)),ABS(BK422),0)</f>
        <v>0</v>
      </c>
      <c r="BP422">
        <f>IF(ISBLANK(E422),0,ABS(E422-50))</f>
        <v>0</v>
      </c>
      <c r="BQ422" s="21" t="str">
        <f>IF(OR(ISBLANK(V422),ISBLANK(W422)),"",IF(SUM(V422,W422)=0,"",CONCATENATE(V422,"-",W422)))</f>
        <v/>
      </c>
      <c r="BR422" s="21" t="str">
        <f>IF(OR(AND(OR(AND(A422&gt;75,X422="Final Handicap"),AND(A422&gt;25,X422="1st half Handicap")),OR(AND(G422&gt;20,U422&lt;T422,E422&gt;45),AND(G422&lt;-20,U422&gt;T422,E422&lt;55))),AND(AND(A422-Y422&lt;200,A422-Y422&gt;9),OR(AND(A422&gt;75,X422="Final Handicap"),AND(A422&gt;25,X422="1st half Handicap")),OR(AND(AK422&gt;20,U422&lt;T422,E422&gt;45),AND(AK422&lt;-20,U422&gt;T422,E422&lt;55))),AND(AND(A422-AL422&lt;200,A422-AL422&gt;9),OR(AND(A422&gt;75,X422="Final Handicap"),AND(A422&gt;25,X422="1st half Handicap")),OR(AND(AX422&gt;20,U422&lt;T422,E422&gt;45),AND(AX422&lt;-20,U422&gt;T422,E422&lt;55))),AND(AND(A422-AY422&lt;200,A422-AY422&gt;9),OR(AND(A422&gt;75,X422="Final Handicap"),AND(A422&gt;25,X422="1st half Handicap")),OR(AND(BK422&gt;20,U422&lt;T422,E422&gt;45),AND(BK422&lt;-20,U422&gt;T422,E422&lt;55)))),"GOOD","")</f>
        <v/>
      </c>
      <c r="BS422" s="21"/>
    </row>
    <row r="423" spans="4:71" ht="17.25" x14ac:dyDescent="0.3">
      <c r="D423" s="8" t="str">
        <f>IF(ISBLANK(T423),"",CONCATENATE(T423,"-",U423))</f>
        <v/>
      </c>
      <c r="BL423">
        <f>IF(NOT(ISBLANK(G423)),ABS(G423),0)</f>
        <v>0</v>
      </c>
      <c r="BM423">
        <f>IF(NOT(ISBLANK(AK423)),ABS(AK423),0)</f>
        <v>0</v>
      </c>
      <c r="BN423">
        <f>IF(NOT(ISBLANK(AX423)),ABS(AX423),0)</f>
        <v>0</v>
      </c>
      <c r="BO423">
        <f>IF(NOT(ISBLANK(BK423)),ABS(BK423),0)</f>
        <v>0</v>
      </c>
      <c r="BP423">
        <f>IF(ISBLANK(E423),0,ABS(E423-50))</f>
        <v>0</v>
      </c>
      <c r="BQ423" s="21" t="str">
        <f>IF(OR(ISBLANK(V423),ISBLANK(W423)),"",IF(SUM(V423,W423)=0,"",CONCATENATE(V423,"-",W423)))</f>
        <v/>
      </c>
      <c r="BR423" s="21" t="str">
        <f>IF(OR(AND(OR(AND(A423&gt;75,X423="Final Handicap"),AND(A423&gt;25,X423="1st half Handicap")),OR(AND(G423&gt;20,U423&lt;T423,E423&gt;45),AND(G423&lt;-20,U423&gt;T423,E423&lt;55))),AND(AND(A423-Y423&lt;200,A423-Y423&gt;9),OR(AND(A423&gt;75,X423="Final Handicap"),AND(A423&gt;25,X423="1st half Handicap")),OR(AND(AK423&gt;20,U423&lt;T423,E423&gt;45),AND(AK423&lt;-20,U423&gt;T423,E423&lt;55))),AND(AND(A423-AL423&lt;200,A423-AL423&gt;9),OR(AND(A423&gt;75,X423="Final Handicap"),AND(A423&gt;25,X423="1st half Handicap")),OR(AND(AX423&gt;20,U423&lt;T423,E423&gt;45),AND(AX423&lt;-20,U423&gt;T423,E423&lt;55))),AND(AND(A423-AY423&lt;200,A423-AY423&gt;9),OR(AND(A423&gt;75,X423="Final Handicap"),AND(A423&gt;25,X423="1st half Handicap")),OR(AND(BK423&gt;20,U423&lt;T423,E423&gt;45),AND(BK423&lt;-20,U423&gt;T423,E423&lt;55)))),"GOOD","")</f>
        <v/>
      </c>
      <c r="BS423" s="21"/>
    </row>
    <row r="424" spans="4:71" ht="17.25" x14ac:dyDescent="0.3">
      <c r="D424" s="8" t="str">
        <f>IF(ISBLANK(T424),"",CONCATENATE(T424,"-",U424))</f>
        <v/>
      </c>
      <c r="BL424">
        <f>IF(NOT(ISBLANK(G424)),ABS(G424),0)</f>
        <v>0</v>
      </c>
      <c r="BM424">
        <f>IF(NOT(ISBLANK(AK424)),ABS(AK424),0)</f>
        <v>0</v>
      </c>
      <c r="BN424">
        <f>IF(NOT(ISBLANK(AX424)),ABS(AX424),0)</f>
        <v>0</v>
      </c>
      <c r="BO424">
        <f>IF(NOT(ISBLANK(BK424)),ABS(BK424),0)</f>
        <v>0</v>
      </c>
      <c r="BP424">
        <f>IF(ISBLANK(E424),0,ABS(E424-50))</f>
        <v>0</v>
      </c>
      <c r="BQ424" s="21" t="str">
        <f>IF(OR(ISBLANK(V424),ISBLANK(W424)),"",IF(SUM(V424,W424)=0,"",CONCATENATE(V424,"-",W424)))</f>
        <v/>
      </c>
      <c r="BR424" s="21" t="str">
        <f>IF(OR(AND(OR(AND(A424&gt;75,X424="Final Handicap"),AND(A424&gt;25,X424="1st half Handicap")),OR(AND(G424&gt;20,U424&lt;T424,E424&gt;45),AND(G424&lt;-20,U424&gt;T424,E424&lt;55))),AND(AND(A424-Y424&lt;200,A424-Y424&gt;9),OR(AND(A424&gt;75,X424="Final Handicap"),AND(A424&gt;25,X424="1st half Handicap")),OR(AND(AK424&gt;20,U424&lt;T424,E424&gt;45),AND(AK424&lt;-20,U424&gt;T424,E424&lt;55))),AND(AND(A424-AL424&lt;200,A424-AL424&gt;9),OR(AND(A424&gt;75,X424="Final Handicap"),AND(A424&gt;25,X424="1st half Handicap")),OR(AND(AX424&gt;20,U424&lt;T424,E424&gt;45),AND(AX424&lt;-20,U424&gt;T424,E424&lt;55))),AND(AND(A424-AY424&lt;200,A424-AY424&gt;9),OR(AND(A424&gt;75,X424="Final Handicap"),AND(A424&gt;25,X424="1st half Handicap")),OR(AND(BK424&gt;20,U424&lt;T424,E424&gt;45),AND(BK424&lt;-20,U424&gt;T424,E424&lt;55)))),"GOOD","")</f>
        <v/>
      </c>
      <c r="BS424" s="21"/>
    </row>
    <row r="425" spans="4:71" ht="17.25" x14ac:dyDescent="0.3">
      <c r="D425" s="8" t="str">
        <f>IF(ISBLANK(T425),"",CONCATENATE(T425,"-",U425))</f>
        <v/>
      </c>
      <c r="BL425">
        <f>IF(NOT(ISBLANK(G425)),ABS(G425),0)</f>
        <v>0</v>
      </c>
      <c r="BM425">
        <f>IF(NOT(ISBLANK(AK425)),ABS(AK425),0)</f>
        <v>0</v>
      </c>
      <c r="BN425">
        <f>IF(NOT(ISBLANK(AX425)),ABS(AX425),0)</f>
        <v>0</v>
      </c>
      <c r="BO425">
        <f>IF(NOT(ISBLANK(BK425)),ABS(BK425),0)</f>
        <v>0</v>
      </c>
      <c r="BP425">
        <f>IF(ISBLANK(E425),0,ABS(E425-50))</f>
        <v>0</v>
      </c>
      <c r="BQ425" s="21" t="str">
        <f>IF(OR(ISBLANK(V425),ISBLANK(W425)),"",IF(SUM(V425,W425)=0,"",CONCATENATE(V425,"-",W425)))</f>
        <v/>
      </c>
      <c r="BR425" s="21" t="str">
        <f>IF(OR(AND(OR(AND(A425&gt;75,X425="Final Handicap"),AND(A425&gt;25,X425="1st half Handicap")),OR(AND(G425&gt;20,U425&lt;T425,E425&gt;45),AND(G425&lt;-20,U425&gt;T425,E425&lt;55))),AND(AND(A425-Y425&lt;200,A425-Y425&gt;9),OR(AND(A425&gt;75,X425="Final Handicap"),AND(A425&gt;25,X425="1st half Handicap")),OR(AND(AK425&gt;20,U425&lt;T425,E425&gt;45),AND(AK425&lt;-20,U425&gt;T425,E425&lt;55))),AND(AND(A425-AL425&lt;200,A425-AL425&gt;9),OR(AND(A425&gt;75,X425="Final Handicap"),AND(A425&gt;25,X425="1st half Handicap")),OR(AND(AX425&gt;20,U425&lt;T425,E425&gt;45),AND(AX425&lt;-20,U425&gt;T425,E425&lt;55))),AND(AND(A425-AY425&lt;200,A425-AY425&gt;9),OR(AND(A425&gt;75,X425="Final Handicap"),AND(A425&gt;25,X425="1st half Handicap")),OR(AND(BK425&gt;20,U425&lt;T425,E425&gt;45),AND(BK425&lt;-20,U425&gt;T425,E425&lt;55)))),"GOOD","")</f>
        <v/>
      </c>
      <c r="BS425" s="21"/>
    </row>
    <row r="426" spans="4:71" ht="17.25" x14ac:dyDescent="0.3">
      <c r="D426" s="8" t="str">
        <f>IF(ISBLANK(T426),"",CONCATENATE(T426,"-",U426))</f>
        <v/>
      </c>
      <c r="BL426">
        <f>IF(NOT(ISBLANK(G426)),ABS(G426),0)</f>
        <v>0</v>
      </c>
      <c r="BM426">
        <f>IF(NOT(ISBLANK(AK426)),ABS(AK426),0)</f>
        <v>0</v>
      </c>
      <c r="BN426">
        <f>IF(NOT(ISBLANK(AX426)),ABS(AX426),0)</f>
        <v>0</v>
      </c>
      <c r="BO426">
        <f>IF(NOT(ISBLANK(BK426)),ABS(BK426),0)</f>
        <v>0</v>
      </c>
      <c r="BP426">
        <f>IF(ISBLANK(E426),0,ABS(E426-50))</f>
        <v>0</v>
      </c>
      <c r="BQ426" s="21" t="str">
        <f>IF(OR(ISBLANK(V426),ISBLANK(W426)),"",IF(SUM(V426,W426)=0,"",CONCATENATE(V426,"-",W426)))</f>
        <v/>
      </c>
      <c r="BR426" s="21" t="str">
        <f>IF(OR(AND(OR(AND(A426&gt;75,X426="Final Handicap"),AND(A426&gt;25,X426="1st half Handicap")),OR(AND(G426&gt;20,U426&lt;T426,E426&gt;45),AND(G426&lt;-20,U426&gt;T426,E426&lt;55))),AND(AND(A426-Y426&lt;200,A426-Y426&gt;9),OR(AND(A426&gt;75,X426="Final Handicap"),AND(A426&gt;25,X426="1st half Handicap")),OR(AND(AK426&gt;20,U426&lt;T426,E426&gt;45),AND(AK426&lt;-20,U426&gt;T426,E426&lt;55))),AND(AND(A426-AL426&lt;200,A426-AL426&gt;9),OR(AND(A426&gt;75,X426="Final Handicap"),AND(A426&gt;25,X426="1st half Handicap")),OR(AND(AX426&gt;20,U426&lt;T426,E426&gt;45),AND(AX426&lt;-20,U426&gt;T426,E426&lt;55))),AND(AND(A426-AY426&lt;200,A426-AY426&gt;9),OR(AND(A426&gt;75,X426="Final Handicap"),AND(A426&gt;25,X426="1st half Handicap")),OR(AND(BK426&gt;20,U426&lt;T426,E426&gt;45),AND(BK426&lt;-20,U426&gt;T426,E426&lt;55)))),"GOOD","")</f>
        <v/>
      </c>
      <c r="BS426" s="21"/>
    </row>
    <row r="427" spans="4:71" ht="17.25" x14ac:dyDescent="0.3">
      <c r="D427" s="8" t="str">
        <f>IF(ISBLANK(T427),"",CONCATENATE(T427,"-",U427))</f>
        <v/>
      </c>
      <c r="BL427">
        <f>IF(NOT(ISBLANK(G427)),ABS(G427),0)</f>
        <v>0</v>
      </c>
      <c r="BM427">
        <f>IF(NOT(ISBLANK(AK427)),ABS(AK427),0)</f>
        <v>0</v>
      </c>
      <c r="BN427">
        <f>IF(NOT(ISBLANK(AX427)),ABS(AX427),0)</f>
        <v>0</v>
      </c>
      <c r="BO427">
        <f>IF(NOT(ISBLANK(BK427)),ABS(BK427),0)</f>
        <v>0</v>
      </c>
      <c r="BP427">
        <f>IF(ISBLANK(E427),0,ABS(E427-50))</f>
        <v>0</v>
      </c>
      <c r="BQ427" s="21" t="str">
        <f>IF(OR(ISBLANK(V427),ISBLANK(W427)),"",IF(SUM(V427,W427)=0,"",CONCATENATE(V427,"-",W427)))</f>
        <v/>
      </c>
      <c r="BR427" s="21" t="str">
        <f>IF(OR(AND(OR(AND(A427&gt;75,X427="Final Handicap"),AND(A427&gt;25,X427="1st half Handicap")),OR(AND(G427&gt;20,U427&lt;T427,E427&gt;45),AND(G427&lt;-20,U427&gt;T427,E427&lt;55))),AND(AND(A427-Y427&lt;200,A427-Y427&gt;9),OR(AND(A427&gt;75,X427="Final Handicap"),AND(A427&gt;25,X427="1st half Handicap")),OR(AND(AK427&gt;20,U427&lt;T427,E427&gt;45),AND(AK427&lt;-20,U427&gt;T427,E427&lt;55))),AND(AND(A427-AL427&lt;200,A427-AL427&gt;9),OR(AND(A427&gt;75,X427="Final Handicap"),AND(A427&gt;25,X427="1st half Handicap")),OR(AND(AX427&gt;20,U427&lt;T427,E427&gt;45),AND(AX427&lt;-20,U427&gt;T427,E427&lt;55))),AND(AND(A427-AY427&lt;200,A427-AY427&gt;9),OR(AND(A427&gt;75,X427="Final Handicap"),AND(A427&gt;25,X427="1st half Handicap")),OR(AND(BK427&gt;20,U427&lt;T427,E427&gt;45),AND(BK427&lt;-20,U427&gt;T427,E427&lt;55)))),"GOOD","")</f>
        <v/>
      </c>
      <c r="BS427" s="21"/>
    </row>
    <row r="428" spans="4:71" ht="17.25" x14ac:dyDescent="0.3">
      <c r="D428" s="8" t="str">
        <f>IF(ISBLANK(T428),"",CONCATENATE(T428,"-",U428))</f>
        <v/>
      </c>
      <c r="BL428">
        <f>IF(NOT(ISBLANK(G428)),ABS(G428),0)</f>
        <v>0</v>
      </c>
      <c r="BM428">
        <f>IF(NOT(ISBLANK(AK428)),ABS(AK428),0)</f>
        <v>0</v>
      </c>
      <c r="BN428">
        <f>IF(NOT(ISBLANK(AX428)),ABS(AX428),0)</f>
        <v>0</v>
      </c>
      <c r="BO428">
        <f>IF(NOT(ISBLANK(BK428)),ABS(BK428),0)</f>
        <v>0</v>
      </c>
      <c r="BP428">
        <f>IF(ISBLANK(E428),0,ABS(E428-50))</f>
        <v>0</v>
      </c>
      <c r="BQ428" s="21" t="str">
        <f>IF(OR(ISBLANK(V428),ISBLANK(W428)),"",IF(SUM(V428,W428)=0,"",CONCATENATE(V428,"-",W428)))</f>
        <v/>
      </c>
      <c r="BR428" s="21" t="str">
        <f>IF(OR(AND(OR(AND(A428&gt;75,X428="Final Handicap"),AND(A428&gt;25,X428="1st half Handicap")),OR(AND(G428&gt;20,U428&lt;T428,E428&gt;45),AND(G428&lt;-20,U428&gt;T428,E428&lt;55))),AND(AND(A428-Y428&lt;200,A428-Y428&gt;9),OR(AND(A428&gt;75,X428="Final Handicap"),AND(A428&gt;25,X428="1st half Handicap")),OR(AND(AK428&gt;20,U428&lt;T428,E428&gt;45),AND(AK428&lt;-20,U428&gt;T428,E428&lt;55))),AND(AND(A428-AL428&lt;200,A428-AL428&gt;9),OR(AND(A428&gt;75,X428="Final Handicap"),AND(A428&gt;25,X428="1st half Handicap")),OR(AND(AX428&gt;20,U428&lt;T428,E428&gt;45),AND(AX428&lt;-20,U428&gt;T428,E428&lt;55))),AND(AND(A428-AY428&lt;200,A428-AY428&gt;9),OR(AND(A428&gt;75,X428="Final Handicap"),AND(A428&gt;25,X428="1st half Handicap")),OR(AND(BK428&gt;20,U428&lt;T428,E428&gt;45),AND(BK428&lt;-20,U428&gt;T428,E428&lt;55)))),"GOOD","")</f>
        <v/>
      </c>
      <c r="BS428" s="21"/>
    </row>
    <row r="429" spans="4:71" ht="17.25" x14ac:dyDescent="0.3">
      <c r="D429" s="8" t="str">
        <f>IF(ISBLANK(T429),"",CONCATENATE(T429,"-",U429))</f>
        <v/>
      </c>
      <c r="BL429">
        <f>IF(NOT(ISBLANK(G429)),ABS(G429),0)</f>
        <v>0</v>
      </c>
      <c r="BM429">
        <f>IF(NOT(ISBLANK(AK429)),ABS(AK429),0)</f>
        <v>0</v>
      </c>
      <c r="BN429">
        <f>IF(NOT(ISBLANK(AX429)),ABS(AX429),0)</f>
        <v>0</v>
      </c>
      <c r="BO429">
        <f>IF(NOT(ISBLANK(BK429)),ABS(BK429),0)</f>
        <v>0</v>
      </c>
      <c r="BP429">
        <f>IF(ISBLANK(E429),0,ABS(E429-50))</f>
        <v>0</v>
      </c>
      <c r="BQ429" s="21" t="str">
        <f>IF(OR(ISBLANK(V429),ISBLANK(W429)),"",IF(SUM(V429,W429)=0,"",CONCATENATE(V429,"-",W429)))</f>
        <v/>
      </c>
      <c r="BR429" s="21" t="str">
        <f>IF(OR(AND(OR(AND(A429&gt;75,X429="Final Handicap"),AND(A429&gt;25,X429="1st half Handicap")),OR(AND(G429&gt;20,U429&lt;T429,E429&gt;45),AND(G429&lt;-20,U429&gt;T429,E429&lt;55))),AND(AND(A429-Y429&lt;200,A429-Y429&gt;9),OR(AND(A429&gt;75,X429="Final Handicap"),AND(A429&gt;25,X429="1st half Handicap")),OR(AND(AK429&gt;20,U429&lt;T429,E429&gt;45),AND(AK429&lt;-20,U429&gt;T429,E429&lt;55))),AND(AND(A429-AL429&lt;200,A429-AL429&gt;9),OR(AND(A429&gt;75,X429="Final Handicap"),AND(A429&gt;25,X429="1st half Handicap")),OR(AND(AX429&gt;20,U429&lt;T429,E429&gt;45),AND(AX429&lt;-20,U429&gt;T429,E429&lt;55))),AND(AND(A429-AY429&lt;200,A429-AY429&gt;9),OR(AND(A429&gt;75,X429="Final Handicap"),AND(A429&gt;25,X429="1st half Handicap")),OR(AND(BK429&gt;20,U429&lt;T429,E429&gt;45),AND(BK429&lt;-20,U429&gt;T429,E429&lt;55)))),"GOOD","")</f>
        <v/>
      </c>
      <c r="BS429" s="21"/>
    </row>
    <row r="430" spans="4:71" ht="17.25" x14ac:dyDescent="0.3">
      <c r="D430" s="8" t="str">
        <f>IF(ISBLANK(T430),"",CONCATENATE(T430,"-",U430))</f>
        <v/>
      </c>
      <c r="BL430">
        <f>IF(NOT(ISBLANK(G430)),ABS(G430),0)</f>
        <v>0</v>
      </c>
      <c r="BM430">
        <f>IF(NOT(ISBLANK(AK430)),ABS(AK430),0)</f>
        <v>0</v>
      </c>
      <c r="BN430">
        <f>IF(NOT(ISBLANK(AX430)),ABS(AX430),0)</f>
        <v>0</v>
      </c>
      <c r="BO430">
        <f>IF(NOT(ISBLANK(BK430)),ABS(BK430),0)</f>
        <v>0</v>
      </c>
      <c r="BP430">
        <f>IF(ISBLANK(E430),0,ABS(E430-50))</f>
        <v>0</v>
      </c>
      <c r="BQ430" s="21" t="str">
        <f>IF(OR(ISBLANK(V430),ISBLANK(W430)),"",IF(SUM(V430,W430)=0,"",CONCATENATE(V430,"-",W430)))</f>
        <v/>
      </c>
      <c r="BR430" s="21" t="str">
        <f>IF(OR(AND(OR(AND(A430&gt;75,X430="Final Handicap"),AND(A430&gt;25,X430="1st half Handicap")),OR(AND(G430&gt;20,U430&lt;T430,E430&gt;45),AND(G430&lt;-20,U430&gt;T430,E430&lt;55))),AND(AND(A430-Y430&lt;200,A430-Y430&gt;9),OR(AND(A430&gt;75,X430="Final Handicap"),AND(A430&gt;25,X430="1st half Handicap")),OR(AND(AK430&gt;20,U430&lt;T430,E430&gt;45),AND(AK430&lt;-20,U430&gt;T430,E430&lt;55))),AND(AND(A430-AL430&lt;200,A430-AL430&gt;9),OR(AND(A430&gt;75,X430="Final Handicap"),AND(A430&gt;25,X430="1st half Handicap")),OR(AND(AX430&gt;20,U430&lt;T430,E430&gt;45),AND(AX430&lt;-20,U430&gt;T430,E430&lt;55))),AND(AND(A430-AY430&lt;200,A430-AY430&gt;9),OR(AND(A430&gt;75,X430="Final Handicap"),AND(A430&gt;25,X430="1st half Handicap")),OR(AND(BK430&gt;20,U430&lt;T430,E430&gt;45),AND(BK430&lt;-20,U430&gt;T430,E430&lt;55)))),"GOOD","")</f>
        <v/>
      </c>
      <c r="BS430" s="21"/>
    </row>
    <row r="431" spans="4:71" ht="17.25" x14ac:dyDescent="0.3">
      <c r="D431" s="8" t="str">
        <f>IF(ISBLANK(T431),"",CONCATENATE(T431,"-",U431))</f>
        <v/>
      </c>
      <c r="BL431">
        <f>IF(NOT(ISBLANK(G431)),ABS(G431),0)</f>
        <v>0</v>
      </c>
      <c r="BM431">
        <f>IF(NOT(ISBLANK(AK431)),ABS(AK431),0)</f>
        <v>0</v>
      </c>
      <c r="BN431">
        <f>IF(NOT(ISBLANK(AX431)),ABS(AX431),0)</f>
        <v>0</v>
      </c>
      <c r="BO431">
        <f>IF(NOT(ISBLANK(BK431)),ABS(BK431),0)</f>
        <v>0</v>
      </c>
      <c r="BP431">
        <f>IF(ISBLANK(E431),0,ABS(E431-50))</f>
        <v>0</v>
      </c>
      <c r="BQ431" s="21" t="str">
        <f>IF(OR(ISBLANK(V431),ISBLANK(W431)),"",IF(SUM(V431,W431)=0,"",CONCATENATE(V431,"-",W431)))</f>
        <v/>
      </c>
      <c r="BR431" s="21" t="str">
        <f>IF(OR(AND(OR(AND(A431&gt;75,X431="Final Handicap"),AND(A431&gt;25,X431="1st half Handicap")),OR(AND(G431&gt;20,U431&lt;T431,E431&gt;45),AND(G431&lt;-20,U431&gt;T431,E431&lt;55))),AND(AND(A431-Y431&lt;200,A431-Y431&gt;9),OR(AND(A431&gt;75,X431="Final Handicap"),AND(A431&gt;25,X431="1st half Handicap")),OR(AND(AK431&gt;20,U431&lt;T431,E431&gt;45),AND(AK431&lt;-20,U431&gt;T431,E431&lt;55))),AND(AND(A431-AL431&lt;200,A431-AL431&gt;9),OR(AND(A431&gt;75,X431="Final Handicap"),AND(A431&gt;25,X431="1st half Handicap")),OR(AND(AX431&gt;20,U431&lt;T431,E431&gt;45),AND(AX431&lt;-20,U431&gt;T431,E431&lt;55))),AND(AND(A431-AY431&lt;200,A431-AY431&gt;9),OR(AND(A431&gt;75,X431="Final Handicap"),AND(A431&gt;25,X431="1st half Handicap")),OR(AND(BK431&gt;20,U431&lt;T431,E431&gt;45),AND(BK431&lt;-20,U431&gt;T431,E431&lt;55)))),"GOOD","")</f>
        <v/>
      </c>
      <c r="BS431" s="21"/>
    </row>
    <row r="432" spans="4:71" ht="17.25" x14ac:dyDescent="0.3">
      <c r="D432" s="8" t="str">
        <f>IF(ISBLANK(T432),"",CONCATENATE(T432,"-",U432))</f>
        <v/>
      </c>
      <c r="BL432">
        <f>IF(NOT(ISBLANK(G432)),ABS(G432),0)</f>
        <v>0</v>
      </c>
      <c r="BM432">
        <f>IF(NOT(ISBLANK(AK432)),ABS(AK432),0)</f>
        <v>0</v>
      </c>
      <c r="BN432">
        <f>IF(NOT(ISBLANK(AX432)),ABS(AX432),0)</f>
        <v>0</v>
      </c>
      <c r="BO432">
        <f>IF(NOT(ISBLANK(BK432)),ABS(BK432),0)</f>
        <v>0</v>
      </c>
      <c r="BP432">
        <f>IF(ISBLANK(E432),0,ABS(E432-50))</f>
        <v>0</v>
      </c>
      <c r="BQ432" s="21" t="str">
        <f>IF(OR(ISBLANK(V432),ISBLANK(W432)),"",IF(SUM(V432,W432)=0,"",CONCATENATE(V432,"-",W432)))</f>
        <v/>
      </c>
      <c r="BR432" s="21" t="str">
        <f>IF(OR(AND(OR(AND(A432&gt;75,X432="Final Handicap"),AND(A432&gt;25,X432="1st half Handicap")),OR(AND(G432&gt;20,U432&lt;T432,E432&gt;45),AND(G432&lt;-20,U432&gt;T432,E432&lt;55))),AND(AND(A432-Y432&lt;200,A432-Y432&gt;9),OR(AND(A432&gt;75,X432="Final Handicap"),AND(A432&gt;25,X432="1st half Handicap")),OR(AND(AK432&gt;20,U432&lt;T432,E432&gt;45),AND(AK432&lt;-20,U432&gt;T432,E432&lt;55))),AND(AND(A432-AL432&lt;200,A432-AL432&gt;9),OR(AND(A432&gt;75,X432="Final Handicap"),AND(A432&gt;25,X432="1st half Handicap")),OR(AND(AX432&gt;20,U432&lt;T432,E432&gt;45),AND(AX432&lt;-20,U432&gt;T432,E432&lt;55))),AND(AND(A432-AY432&lt;200,A432-AY432&gt;9),OR(AND(A432&gt;75,X432="Final Handicap"),AND(A432&gt;25,X432="1st half Handicap")),OR(AND(BK432&gt;20,U432&lt;T432,E432&gt;45),AND(BK432&lt;-20,U432&gt;T432,E432&lt;55)))),"GOOD","")</f>
        <v/>
      </c>
      <c r="BS432" s="21"/>
    </row>
    <row r="433" spans="4:71" ht="17.25" x14ac:dyDescent="0.3">
      <c r="D433" s="8" t="str">
        <f>IF(ISBLANK(T433),"",CONCATENATE(T433,"-",U433))</f>
        <v/>
      </c>
      <c r="BL433">
        <f>IF(NOT(ISBLANK(G433)),ABS(G433),0)</f>
        <v>0</v>
      </c>
      <c r="BM433">
        <f>IF(NOT(ISBLANK(AK433)),ABS(AK433),0)</f>
        <v>0</v>
      </c>
      <c r="BN433">
        <f>IF(NOT(ISBLANK(AX433)),ABS(AX433),0)</f>
        <v>0</v>
      </c>
      <c r="BO433">
        <f>IF(NOT(ISBLANK(BK433)),ABS(BK433),0)</f>
        <v>0</v>
      </c>
      <c r="BP433">
        <f>IF(ISBLANK(E433),0,ABS(E433-50))</f>
        <v>0</v>
      </c>
      <c r="BQ433" s="21" t="str">
        <f>IF(OR(ISBLANK(V433),ISBLANK(W433)),"",IF(SUM(V433,W433)=0,"",CONCATENATE(V433,"-",W433)))</f>
        <v/>
      </c>
      <c r="BR433" s="21" t="str">
        <f>IF(OR(AND(OR(AND(A433&gt;75,X433="Final Handicap"),AND(A433&gt;25,X433="1st half Handicap")),OR(AND(G433&gt;20,U433&lt;T433,E433&gt;45),AND(G433&lt;-20,U433&gt;T433,E433&lt;55))),AND(AND(A433-Y433&lt;200,A433-Y433&gt;9),OR(AND(A433&gt;75,X433="Final Handicap"),AND(A433&gt;25,X433="1st half Handicap")),OR(AND(AK433&gt;20,U433&lt;T433,E433&gt;45),AND(AK433&lt;-20,U433&gt;T433,E433&lt;55))),AND(AND(A433-AL433&lt;200,A433-AL433&gt;9),OR(AND(A433&gt;75,X433="Final Handicap"),AND(A433&gt;25,X433="1st half Handicap")),OR(AND(AX433&gt;20,U433&lt;T433,E433&gt;45),AND(AX433&lt;-20,U433&gt;T433,E433&lt;55))),AND(AND(A433-AY433&lt;200,A433-AY433&gt;9),OR(AND(A433&gt;75,X433="Final Handicap"),AND(A433&gt;25,X433="1st half Handicap")),OR(AND(BK433&gt;20,U433&lt;T433,E433&gt;45),AND(BK433&lt;-20,U433&gt;T433,E433&lt;55)))),"GOOD","")</f>
        <v/>
      </c>
      <c r="BS433" s="21"/>
    </row>
    <row r="434" spans="4:71" ht="17.25" x14ac:dyDescent="0.3">
      <c r="D434" s="8" t="str">
        <f>IF(ISBLANK(T434),"",CONCATENATE(T434,"-",U434))</f>
        <v/>
      </c>
      <c r="BL434">
        <f>IF(NOT(ISBLANK(G434)),ABS(G434),0)</f>
        <v>0</v>
      </c>
      <c r="BM434">
        <f>IF(NOT(ISBLANK(AK434)),ABS(AK434),0)</f>
        <v>0</v>
      </c>
      <c r="BN434">
        <f>IF(NOT(ISBLANK(AX434)),ABS(AX434),0)</f>
        <v>0</v>
      </c>
      <c r="BO434">
        <f>IF(NOT(ISBLANK(BK434)),ABS(BK434),0)</f>
        <v>0</v>
      </c>
      <c r="BP434">
        <f>IF(ISBLANK(E434),0,ABS(E434-50))</f>
        <v>0</v>
      </c>
      <c r="BQ434" s="21" t="str">
        <f>IF(OR(ISBLANK(V434),ISBLANK(W434)),"",IF(SUM(V434,W434)=0,"",CONCATENATE(V434,"-",W434)))</f>
        <v/>
      </c>
      <c r="BR434" s="21" t="str">
        <f>IF(OR(AND(OR(AND(A434&gt;75,X434="Final Handicap"),AND(A434&gt;25,X434="1st half Handicap")),OR(AND(G434&gt;20,U434&lt;T434,E434&gt;45),AND(G434&lt;-20,U434&gt;T434,E434&lt;55))),AND(AND(A434-Y434&lt;200,A434-Y434&gt;9),OR(AND(A434&gt;75,X434="Final Handicap"),AND(A434&gt;25,X434="1st half Handicap")),OR(AND(AK434&gt;20,U434&lt;T434,E434&gt;45),AND(AK434&lt;-20,U434&gt;T434,E434&lt;55))),AND(AND(A434-AL434&lt;200,A434-AL434&gt;9),OR(AND(A434&gt;75,X434="Final Handicap"),AND(A434&gt;25,X434="1st half Handicap")),OR(AND(AX434&gt;20,U434&lt;T434,E434&gt;45),AND(AX434&lt;-20,U434&gt;T434,E434&lt;55))),AND(AND(A434-AY434&lt;200,A434-AY434&gt;9),OR(AND(A434&gt;75,X434="Final Handicap"),AND(A434&gt;25,X434="1st half Handicap")),OR(AND(BK434&gt;20,U434&lt;T434,E434&gt;45),AND(BK434&lt;-20,U434&gt;T434,E434&lt;55)))),"GOOD","")</f>
        <v/>
      </c>
      <c r="BS434" s="21"/>
    </row>
    <row r="435" spans="4:71" ht="17.25" x14ac:dyDescent="0.3">
      <c r="D435" s="8" t="str">
        <f>IF(ISBLANK(T435),"",CONCATENATE(T435,"-",U435))</f>
        <v/>
      </c>
      <c r="BL435">
        <f>IF(NOT(ISBLANK(G435)),ABS(G435),0)</f>
        <v>0</v>
      </c>
      <c r="BM435">
        <f>IF(NOT(ISBLANK(AK435)),ABS(AK435),0)</f>
        <v>0</v>
      </c>
      <c r="BN435">
        <f>IF(NOT(ISBLANK(AX435)),ABS(AX435),0)</f>
        <v>0</v>
      </c>
      <c r="BO435">
        <f>IF(NOT(ISBLANK(BK435)),ABS(BK435),0)</f>
        <v>0</v>
      </c>
      <c r="BP435">
        <f>IF(ISBLANK(E435),0,ABS(E435-50))</f>
        <v>0</v>
      </c>
      <c r="BQ435" s="21" t="str">
        <f>IF(OR(ISBLANK(V435),ISBLANK(W435)),"",IF(SUM(V435,W435)=0,"",CONCATENATE(V435,"-",W435)))</f>
        <v/>
      </c>
      <c r="BR435" s="21" t="str">
        <f>IF(OR(AND(OR(AND(A435&gt;75,X435="Final Handicap"),AND(A435&gt;25,X435="1st half Handicap")),OR(AND(G435&gt;20,U435&lt;T435,E435&gt;45),AND(G435&lt;-20,U435&gt;T435,E435&lt;55))),AND(AND(A435-Y435&lt;200,A435-Y435&gt;9),OR(AND(A435&gt;75,X435="Final Handicap"),AND(A435&gt;25,X435="1st half Handicap")),OR(AND(AK435&gt;20,U435&lt;T435,E435&gt;45),AND(AK435&lt;-20,U435&gt;T435,E435&lt;55))),AND(AND(A435-AL435&lt;200,A435-AL435&gt;9),OR(AND(A435&gt;75,X435="Final Handicap"),AND(A435&gt;25,X435="1st half Handicap")),OR(AND(AX435&gt;20,U435&lt;T435,E435&gt;45),AND(AX435&lt;-20,U435&gt;T435,E435&lt;55))),AND(AND(A435-AY435&lt;200,A435-AY435&gt;9),OR(AND(A435&gt;75,X435="Final Handicap"),AND(A435&gt;25,X435="1st half Handicap")),OR(AND(BK435&gt;20,U435&lt;T435,E435&gt;45),AND(BK435&lt;-20,U435&gt;T435,E435&lt;55)))),"GOOD","")</f>
        <v/>
      </c>
      <c r="BS435" s="21"/>
    </row>
    <row r="436" spans="4:71" ht="17.25" x14ac:dyDescent="0.3">
      <c r="D436" s="8" t="str">
        <f>IF(ISBLANK(T436),"",CONCATENATE(T436,"-",U436))</f>
        <v/>
      </c>
      <c r="BL436">
        <f>IF(NOT(ISBLANK(G436)),ABS(G436),0)</f>
        <v>0</v>
      </c>
      <c r="BM436">
        <f>IF(NOT(ISBLANK(AK436)),ABS(AK436),0)</f>
        <v>0</v>
      </c>
      <c r="BN436">
        <f>IF(NOT(ISBLANK(AX436)),ABS(AX436),0)</f>
        <v>0</v>
      </c>
      <c r="BO436">
        <f>IF(NOT(ISBLANK(BK436)),ABS(BK436),0)</f>
        <v>0</v>
      </c>
      <c r="BP436">
        <f>IF(ISBLANK(E436),0,ABS(E436-50))</f>
        <v>0</v>
      </c>
      <c r="BQ436" s="21" t="str">
        <f>IF(OR(ISBLANK(V436),ISBLANK(W436)),"",IF(SUM(V436,W436)=0,"",CONCATENATE(V436,"-",W436)))</f>
        <v/>
      </c>
      <c r="BR436" s="21" t="str">
        <f>IF(OR(AND(OR(AND(A436&gt;75,X436="Final Handicap"),AND(A436&gt;25,X436="1st half Handicap")),OR(AND(G436&gt;20,U436&lt;T436,E436&gt;45),AND(G436&lt;-20,U436&gt;T436,E436&lt;55))),AND(AND(A436-Y436&lt;200,A436-Y436&gt;9),OR(AND(A436&gt;75,X436="Final Handicap"),AND(A436&gt;25,X436="1st half Handicap")),OR(AND(AK436&gt;20,U436&lt;T436,E436&gt;45),AND(AK436&lt;-20,U436&gt;T436,E436&lt;55))),AND(AND(A436-AL436&lt;200,A436-AL436&gt;9),OR(AND(A436&gt;75,X436="Final Handicap"),AND(A436&gt;25,X436="1st half Handicap")),OR(AND(AX436&gt;20,U436&lt;T436,E436&gt;45),AND(AX436&lt;-20,U436&gt;T436,E436&lt;55))),AND(AND(A436-AY436&lt;200,A436-AY436&gt;9),OR(AND(A436&gt;75,X436="Final Handicap"),AND(A436&gt;25,X436="1st half Handicap")),OR(AND(BK436&gt;20,U436&lt;T436,E436&gt;45),AND(BK436&lt;-20,U436&gt;T436,E436&lt;55)))),"GOOD","")</f>
        <v/>
      </c>
      <c r="BS436" s="21"/>
    </row>
    <row r="437" spans="4:71" ht="17.25" x14ac:dyDescent="0.3">
      <c r="D437" s="8" t="str">
        <f>IF(ISBLANK(T437),"",CONCATENATE(T437,"-",U437))</f>
        <v/>
      </c>
      <c r="BL437">
        <f>IF(NOT(ISBLANK(G437)),ABS(G437),0)</f>
        <v>0</v>
      </c>
      <c r="BM437">
        <f>IF(NOT(ISBLANK(AK437)),ABS(AK437),0)</f>
        <v>0</v>
      </c>
      <c r="BN437">
        <f>IF(NOT(ISBLANK(AX437)),ABS(AX437),0)</f>
        <v>0</v>
      </c>
      <c r="BO437">
        <f>IF(NOT(ISBLANK(BK437)),ABS(BK437),0)</f>
        <v>0</v>
      </c>
      <c r="BP437">
        <f>IF(ISBLANK(E437),0,ABS(E437-50))</f>
        <v>0</v>
      </c>
      <c r="BQ437" s="21" t="str">
        <f>IF(OR(ISBLANK(V437),ISBLANK(W437)),"",IF(SUM(V437,W437)=0,"",CONCATENATE(V437,"-",W437)))</f>
        <v/>
      </c>
      <c r="BR437" s="21" t="str">
        <f>IF(OR(AND(OR(AND(A437&gt;75,X437="Final Handicap"),AND(A437&gt;25,X437="1st half Handicap")),OR(AND(G437&gt;20,U437&lt;T437,E437&gt;45),AND(G437&lt;-20,U437&gt;T437,E437&lt;55))),AND(AND(A437-Y437&lt;200,A437-Y437&gt;9),OR(AND(A437&gt;75,X437="Final Handicap"),AND(A437&gt;25,X437="1st half Handicap")),OR(AND(AK437&gt;20,U437&lt;T437,E437&gt;45),AND(AK437&lt;-20,U437&gt;T437,E437&lt;55))),AND(AND(A437-AL437&lt;200,A437-AL437&gt;9),OR(AND(A437&gt;75,X437="Final Handicap"),AND(A437&gt;25,X437="1st half Handicap")),OR(AND(AX437&gt;20,U437&lt;T437,E437&gt;45),AND(AX437&lt;-20,U437&gt;T437,E437&lt;55))),AND(AND(A437-AY437&lt;200,A437-AY437&gt;9),OR(AND(A437&gt;75,X437="Final Handicap"),AND(A437&gt;25,X437="1st half Handicap")),OR(AND(BK437&gt;20,U437&lt;T437,E437&gt;45),AND(BK437&lt;-20,U437&gt;T437,E437&lt;55)))),"GOOD","")</f>
        <v/>
      </c>
      <c r="BS437" s="21"/>
    </row>
    <row r="438" spans="4:71" ht="17.25" x14ac:dyDescent="0.3">
      <c r="D438" s="8" t="str">
        <f>IF(ISBLANK(T438),"",CONCATENATE(T438,"-",U438))</f>
        <v/>
      </c>
      <c r="BL438">
        <f>IF(NOT(ISBLANK(G438)),ABS(G438),0)</f>
        <v>0</v>
      </c>
      <c r="BM438">
        <f>IF(NOT(ISBLANK(AK438)),ABS(AK438),0)</f>
        <v>0</v>
      </c>
      <c r="BN438">
        <f>IF(NOT(ISBLANK(AX438)),ABS(AX438),0)</f>
        <v>0</v>
      </c>
      <c r="BO438">
        <f>IF(NOT(ISBLANK(BK438)),ABS(BK438),0)</f>
        <v>0</v>
      </c>
      <c r="BP438">
        <f>IF(ISBLANK(E438),0,ABS(E438-50))</f>
        <v>0</v>
      </c>
      <c r="BQ438" s="21" t="str">
        <f>IF(OR(ISBLANK(V438),ISBLANK(W438)),"",IF(SUM(V438,W438)=0,"",CONCATENATE(V438,"-",W438)))</f>
        <v/>
      </c>
      <c r="BR438" s="21" t="str">
        <f>IF(OR(AND(OR(AND(A438&gt;75,X438="Final Handicap"),AND(A438&gt;25,X438="1st half Handicap")),OR(AND(G438&gt;20,U438&lt;T438,E438&gt;45),AND(G438&lt;-20,U438&gt;T438,E438&lt;55))),AND(AND(A438-Y438&lt;200,A438-Y438&gt;9),OR(AND(A438&gt;75,X438="Final Handicap"),AND(A438&gt;25,X438="1st half Handicap")),OR(AND(AK438&gt;20,U438&lt;T438,E438&gt;45),AND(AK438&lt;-20,U438&gt;T438,E438&lt;55))),AND(AND(A438-AL438&lt;200,A438-AL438&gt;9),OR(AND(A438&gt;75,X438="Final Handicap"),AND(A438&gt;25,X438="1st half Handicap")),OR(AND(AX438&gt;20,U438&lt;T438,E438&gt;45),AND(AX438&lt;-20,U438&gt;T438,E438&lt;55))),AND(AND(A438-AY438&lt;200,A438-AY438&gt;9),OR(AND(A438&gt;75,X438="Final Handicap"),AND(A438&gt;25,X438="1st half Handicap")),OR(AND(BK438&gt;20,U438&lt;T438,E438&gt;45),AND(BK438&lt;-20,U438&gt;T438,E438&lt;55)))),"GOOD","")</f>
        <v/>
      </c>
      <c r="BS438" s="21"/>
    </row>
    <row r="439" spans="4:71" ht="17.25" x14ac:dyDescent="0.3">
      <c r="D439" s="8" t="str">
        <f>IF(ISBLANK(T439),"",CONCATENATE(T439,"-",U439))</f>
        <v/>
      </c>
      <c r="BL439">
        <f>IF(NOT(ISBLANK(G439)),ABS(G439),0)</f>
        <v>0</v>
      </c>
      <c r="BM439">
        <f>IF(NOT(ISBLANK(AK439)),ABS(AK439),0)</f>
        <v>0</v>
      </c>
      <c r="BN439">
        <f>IF(NOT(ISBLANK(AX439)),ABS(AX439),0)</f>
        <v>0</v>
      </c>
      <c r="BO439">
        <f>IF(NOT(ISBLANK(BK439)),ABS(BK439),0)</f>
        <v>0</v>
      </c>
      <c r="BP439">
        <f>IF(ISBLANK(E439),0,ABS(E439-50))</f>
        <v>0</v>
      </c>
      <c r="BQ439" s="21" t="str">
        <f>IF(OR(ISBLANK(V439),ISBLANK(W439)),"",IF(SUM(V439,W439)=0,"",CONCATENATE(V439,"-",W439)))</f>
        <v/>
      </c>
      <c r="BR439" s="21" t="str">
        <f>IF(OR(AND(OR(AND(A439&gt;75,X439="Final Handicap"),AND(A439&gt;25,X439="1st half Handicap")),OR(AND(G439&gt;20,U439&lt;T439,E439&gt;45),AND(G439&lt;-20,U439&gt;T439,E439&lt;55))),AND(AND(A439-Y439&lt;200,A439-Y439&gt;9),OR(AND(A439&gt;75,X439="Final Handicap"),AND(A439&gt;25,X439="1st half Handicap")),OR(AND(AK439&gt;20,U439&lt;T439,E439&gt;45),AND(AK439&lt;-20,U439&gt;T439,E439&lt;55))),AND(AND(A439-AL439&lt;200,A439-AL439&gt;9),OR(AND(A439&gt;75,X439="Final Handicap"),AND(A439&gt;25,X439="1st half Handicap")),OR(AND(AX439&gt;20,U439&lt;T439,E439&gt;45),AND(AX439&lt;-20,U439&gt;T439,E439&lt;55))),AND(AND(A439-AY439&lt;200,A439-AY439&gt;9),OR(AND(A439&gt;75,X439="Final Handicap"),AND(A439&gt;25,X439="1st half Handicap")),OR(AND(BK439&gt;20,U439&lt;T439,E439&gt;45),AND(BK439&lt;-20,U439&gt;T439,E439&lt;55)))),"GOOD","")</f>
        <v/>
      </c>
      <c r="BS439" s="21"/>
    </row>
    <row r="440" spans="4:71" ht="17.25" x14ac:dyDescent="0.3">
      <c r="D440" s="8" t="str">
        <f>IF(ISBLANK(T440),"",CONCATENATE(T440,"-",U440))</f>
        <v/>
      </c>
      <c r="BL440">
        <f>IF(NOT(ISBLANK(G440)),ABS(G440),0)</f>
        <v>0</v>
      </c>
      <c r="BM440">
        <f>IF(NOT(ISBLANK(AK440)),ABS(AK440),0)</f>
        <v>0</v>
      </c>
      <c r="BN440">
        <f>IF(NOT(ISBLANK(AX440)),ABS(AX440),0)</f>
        <v>0</v>
      </c>
      <c r="BO440">
        <f>IF(NOT(ISBLANK(BK440)),ABS(BK440),0)</f>
        <v>0</v>
      </c>
      <c r="BP440">
        <f>IF(ISBLANK(E440),0,ABS(E440-50))</f>
        <v>0</v>
      </c>
      <c r="BQ440" s="21" t="str">
        <f>IF(OR(ISBLANK(V440),ISBLANK(W440)),"",IF(SUM(V440,W440)=0,"",CONCATENATE(V440,"-",W440)))</f>
        <v/>
      </c>
      <c r="BR440" s="21" t="str">
        <f>IF(OR(AND(OR(AND(A440&gt;75,X440="Final Handicap"),AND(A440&gt;25,X440="1st half Handicap")),OR(AND(G440&gt;20,U440&lt;T440,E440&gt;45),AND(G440&lt;-20,U440&gt;T440,E440&lt;55))),AND(AND(A440-Y440&lt;200,A440-Y440&gt;9),OR(AND(A440&gt;75,X440="Final Handicap"),AND(A440&gt;25,X440="1st half Handicap")),OR(AND(AK440&gt;20,U440&lt;T440,E440&gt;45),AND(AK440&lt;-20,U440&gt;T440,E440&lt;55))),AND(AND(A440-AL440&lt;200,A440-AL440&gt;9),OR(AND(A440&gt;75,X440="Final Handicap"),AND(A440&gt;25,X440="1st half Handicap")),OR(AND(AX440&gt;20,U440&lt;T440,E440&gt;45),AND(AX440&lt;-20,U440&gt;T440,E440&lt;55))),AND(AND(A440-AY440&lt;200,A440-AY440&gt;9),OR(AND(A440&gt;75,X440="Final Handicap"),AND(A440&gt;25,X440="1st half Handicap")),OR(AND(BK440&gt;20,U440&lt;T440,E440&gt;45),AND(BK440&lt;-20,U440&gt;T440,E440&lt;55)))),"GOOD","")</f>
        <v/>
      </c>
      <c r="BS440" s="21"/>
    </row>
    <row r="441" spans="4:71" ht="17.25" x14ac:dyDescent="0.3">
      <c r="D441" s="8" t="str">
        <f>IF(ISBLANK(T441),"",CONCATENATE(T441,"-",U441))</f>
        <v/>
      </c>
      <c r="BL441">
        <f>IF(NOT(ISBLANK(G441)),ABS(G441),0)</f>
        <v>0</v>
      </c>
      <c r="BM441">
        <f>IF(NOT(ISBLANK(AK441)),ABS(AK441),0)</f>
        <v>0</v>
      </c>
      <c r="BN441">
        <f>IF(NOT(ISBLANK(AX441)),ABS(AX441),0)</f>
        <v>0</v>
      </c>
      <c r="BO441">
        <f>IF(NOT(ISBLANK(BK441)),ABS(BK441),0)</f>
        <v>0</v>
      </c>
      <c r="BP441">
        <f>IF(ISBLANK(E441),0,ABS(E441-50))</f>
        <v>0</v>
      </c>
      <c r="BQ441" s="21" t="str">
        <f>IF(OR(ISBLANK(V441),ISBLANK(W441)),"",IF(SUM(V441,W441)=0,"",CONCATENATE(V441,"-",W441)))</f>
        <v/>
      </c>
      <c r="BR441" s="21" t="str">
        <f>IF(OR(AND(OR(AND(A441&gt;75,X441="Final Handicap"),AND(A441&gt;25,X441="1st half Handicap")),OR(AND(G441&gt;20,U441&lt;T441,E441&gt;45),AND(G441&lt;-20,U441&gt;T441,E441&lt;55))),AND(AND(A441-Y441&lt;200,A441-Y441&gt;9),OR(AND(A441&gt;75,X441="Final Handicap"),AND(A441&gt;25,X441="1st half Handicap")),OR(AND(AK441&gt;20,U441&lt;T441,E441&gt;45),AND(AK441&lt;-20,U441&gt;T441,E441&lt;55))),AND(AND(A441-AL441&lt;200,A441-AL441&gt;9),OR(AND(A441&gt;75,X441="Final Handicap"),AND(A441&gt;25,X441="1st half Handicap")),OR(AND(AX441&gt;20,U441&lt;T441,E441&gt;45),AND(AX441&lt;-20,U441&gt;T441,E441&lt;55))),AND(AND(A441-AY441&lt;200,A441-AY441&gt;9),OR(AND(A441&gt;75,X441="Final Handicap"),AND(A441&gt;25,X441="1st half Handicap")),OR(AND(BK441&gt;20,U441&lt;T441,E441&gt;45),AND(BK441&lt;-20,U441&gt;T441,E441&lt;55)))),"GOOD","")</f>
        <v/>
      </c>
      <c r="BS441" s="21"/>
    </row>
    <row r="442" spans="4:71" ht="17.25" x14ac:dyDescent="0.3">
      <c r="D442" s="8" t="str">
        <f>IF(ISBLANK(T442),"",CONCATENATE(T442,"-",U442))</f>
        <v/>
      </c>
      <c r="BL442">
        <f>IF(NOT(ISBLANK(G442)),ABS(G442),0)</f>
        <v>0</v>
      </c>
      <c r="BM442">
        <f>IF(NOT(ISBLANK(AK442)),ABS(AK442),0)</f>
        <v>0</v>
      </c>
      <c r="BN442">
        <f>IF(NOT(ISBLANK(AX442)),ABS(AX442),0)</f>
        <v>0</v>
      </c>
      <c r="BO442">
        <f>IF(NOT(ISBLANK(BK442)),ABS(BK442),0)</f>
        <v>0</v>
      </c>
      <c r="BP442">
        <f>IF(ISBLANK(E442),0,ABS(E442-50))</f>
        <v>0</v>
      </c>
      <c r="BQ442" s="21" t="str">
        <f>IF(OR(ISBLANK(V442),ISBLANK(W442)),"",IF(SUM(V442,W442)=0,"",CONCATENATE(V442,"-",W442)))</f>
        <v/>
      </c>
      <c r="BR442" s="21" t="str">
        <f>IF(OR(AND(OR(AND(A442&gt;75,X442="Final Handicap"),AND(A442&gt;25,X442="1st half Handicap")),OR(AND(G442&gt;20,U442&lt;T442,E442&gt;45),AND(G442&lt;-20,U442&gt;T442,E442&lt;55))),AND(AND(A442-Y442&lt;200,A442-Y442&gt;9),OR(AND(A442&gt;75,X442="Final Handicap"),AND(A442&gt;25,X442="1st half Handicap")),OR(AND(AK442&gt;20,U442&lt;T442,E442&gt;45),AND(AK442&lt;-20,U442&gt;T442,E442&lt;55))),AND(AND(A442-AL442&lt;200,A442-AL442&gt;9),OR(AND(A442&gt;75,X442="Final Handicap"),AND(A442&gt;25,X442="1st half Handicap")),OR(AND(AX442&gt;20,U442&lt;T442,E442&gt;45),AND(AX442&lt;-20,U442&gt;T442,E442&lt;55))),AND(AND(A442-AY442&lt;200,A442-AY442&gt;9),OR(AND(A442&gt;75,X442="Final Handicap"),AND(A442&gt;25,X442="1st half Handicap")),OR(AND(BK442&gt;20,U442&lt;T442,E442&gt;45),AND(BK442&lt;-20,U442&gt;T442,E442&lt;55)))),"GOOD","")</f>
        <v/>
      </c>
      <c r="BS442" s="21"/>
    </row>
    <row r="443" spans="4:71" ht="17.25" x14ac:dyDescent="0.3">
      <c r="D443" s="8" t="str">
        <f>IF(ISBLANK(T443),"",CONCATENATE(T443,"-",U443))</f>
        <v/>
      </c>
      <c r="BL443">
        <f>IF(NOT(ISBLANK(G443)),ABS(G443),0)</f>
        <v>0</v>
      </c>
      <c r="BM443">
        <f>IF(NOT(ISBLANK(AK443)),ABS(AK443),0)</f>
        <v>0</v>
      </c>
      <c r="BN443">
        <f>IF(NOT(ISBLANK(AX443)),ABS(AX443),0)</f>
        <v>0</v>
      </c>
      <c r="BO443">
        <f>IF(NOT(ISBLANK(BK443)),ABS(BK443),0)</f>
        <v>0</v>
      </c>
      <c r="BP443">
        <f>IF(ISBLANK(E443),0,ABS(E443-50))</f>
        <v>0</v>
      </c>
      <c r="BQ443" s="21" t="str">
        <f>IF(OR(ISBLANK(V443),ISBLANK(W443)),"",IF(SUM(V443,W443)=0,"",CONCATENATE(V443,"-",W443)))</f>
        <v/>
      </c>
      <c r="BR443" s="21" t="str">
        <f>IF(OR(AND(OR(AND(A443&gt;75,X443="Final Handicap"),AND(A443&gt;25,X443="1st half Handicap")),OR(AND(G443&gt;20,U443&lt;T443,E443&gt;45),AND(G443&lt;-20,U443&gt;T443,E443&lt;55))),AND(AND(A443-Y443&lt;200,A443-Y443&gt;9),OR(AND(A443&gt;75,X443="Final Handicap"),AND(A443&gt;25,X443="1st half Handicap")),OR(AND(AK443&gt;20,U443&lt;T443,E443&gt;45),AND(AK443&lt;-20,U443&gt;T443,E443&lt;55))),AND(AND(A443-AL443&lt;200,A443-AL443&gt;9),OR(AND(A443&gt;75,X443="Final Handicap"),AND(A443&gt;25,X443="1st half Handicap")),OR(AND(AX443&gt;20,U443&lt;T443,E443&gt;45),AND(AX443&lt;-20,U443&gt;T443,E443&lt;55))),AND(AND(A443-AY443&lt;200,A443-AY443&gt;9),OR(AND(A443&gt;75,X443="Final Handicap"),AND(A443&gt;25,X443="1st half Handicap")),OR(AND(BK443&gt;20,U443&lt;T443,E443&gt;45),AND(BK443&lt;-20,U443&gt;T443,E443&lt;55)))),"GOOD","")</f>
        <v/>
      </c>
      <c r="BS443" s="21"/>
    </row>
    <row r="444" spans="4:71" ht="17.25" x14ac:dyDescent="0.3">
      <c r="D444" s="8" t="str">
        <f>IF(ISBLANK(T444),"",CONCATENATE(T444,"-",U444))</f>
        <v/>
      </c>
      <c r="BL444">
        <f>IF(NOT(ISBLANK(G444)),ABS(G444),0)</f>
        <v>0</v>
      </c>
      <c r="BM444">
        <f>IF(NOT(ISBLANK(AK444)),ABS(AK444),0)</f>
        <v>0</v>
      </c>
      <c r="BN444">
        <f>IF(NOT(ISBLANK(AX444)),ABS(AX444),0)</f>
        <v>0</v>
      </c>
      <c r="BO444">
        <f>IF(NOT(ISBLANK(BK444)),ABS(BK444),0)</f>
        <v>0</v>
      </c>
      <c r="BP444">
        <f>IF(ISBLANK(E444),0,ABS(E444-50))</f>
        <v>0</v>
      </c>
      <c r="BQ444" s="21" t="str">
        <f>IF(OR(ISBLANK(V444),ISBLANK(W444)),"",IF(SUM(V444,W444)=0,"",CONCATENATE(V444,"-",W444)))</f>
        <v/>
      </c>
      <c r="BR444" s="21" t="str">
        <f>IF(OR(AND(OR(AND(A444&gt;75,X444="Final Handicap"),AND(A444&gt;25,X444="1st half Handicap")),OR(AND(G444&gt;20,U444&lt;T444,E444&gt;45),AND(G444&lt;-20,U444&gt;T444,E444&lt;55))),AND(AND(A444-Y444&lt;200,A444-Y444&gt;9),OR(AND(A444&gt;75,X444="Final Handicap"),AND(A444&gt;25,X444="1st half Handicap")),OR(AND(AK444&gt;20,U444&lt;T444,E444&gt;45),AND(AK444&lt;-20,U444&gt;T444,E444&lt;55))),AND(AND(A444-AL444&lt;200,A444-AL444&gt;9),OR(AND(A444&gt;75,X444="Final Handicap"),AND(A444&gt;25,X444="1st half Handicap")),OR(AND(AX444&gt;20,U444&lt;T444,E444&gt;45),AND(AX444&lt;-20,U444&gt;T444,E444&lt;55))),AND(AND(A444-AY444&lt;200,A444-AY444&gt;9),OR(AND(A444&gt;75,X444="Final Handicap"),AND(A444&gt;25,X444="1st half Handicap")),OR(AND(BK444&gt;20,U444&lt;T444,E444&gt;45),AND(BK444&lt;-20,U444&gt;T444,E444&lt;55)))),"GOOD","")</f>
        <v/>
      </c>
      <c r="BS444" s="21"/>
    </row>
    <row r="445" spans="4:71" ht="17.25" x14ac:dyDescent="0.3">
      <c r="D445" s="8" t="str">
        <f>IF(ISBLANK(T445),"",CONCATENATE(T445,"-",U445))</f>
        <v/>
      </c>
      <c r="BL445">
        <f>IF(NOT(ISBLANK(G445)),ABS(G445),0)</f>
        <v>0</v>
      </c>
      <c r="BM445">
        <f>IF(NOT(ISBLANK(AK445)),ABS(AK445),0)</f>
        <v>0</v>
      </c>
      <c r="BN445">
        <f>IF(NOT(ISBLANK(AX445)),ABS(AX445),0)</f>
        <v>0</v>
      </c>
      <c r="BO445">
        <f>IF(NOT(ISBLANK(BK445)),ABS(BK445),0)</f>
        <v>0</v>
      </c>
      <c r="BP445">
        <f>IF(ISBLANK(E445),0,ABS(E445-50))</f>
        <v>0</v>
      </c>
      <c r="BQ445" s="21" t="str">
        <f>IF(OR(ISBLANK(V445),ISBLANK(W445)),"",IF(SUM(V445,W445)=0,"",CONCATENATE(V445,"-",W445)))</f>
        <v/>
      </c>
      <c r="BR445" s="21" t="str">
        <f>IF(OR(AND(OR(AND(A445&gt;75,X445="Final Handicap"),AND(A445&gt;25,X445="1st half Handicap")),OR(AND(G445&gt;20,U445&lt;T445,E445&gt;45),AND(G445&lt;-20,U445&gt;T445,E445&lt;55))),AND(AND(A445-Y445&lt;200,A445-Y445&gt;9),OR(AND(A445&gt;75,X445="Final Handicap"),AND(A445&gt;25,X445="1st half Handicap")),OR(AND(AK445&gt;20,U445&lt;T445,E445&gt;45),AND(AK445&lt;-20,U445&gt;T445,E445&lt;55))),AND(AND(A445-AL445&lt;200,A445-AL445&gt;9),OR(AND(A445&gt;75,X445="Final Handicap"),AND(A445&gt;25,X445="1st half Handicap")),OR(AND(AX445&gt;20,U445&lt;T445,E445&gt;45),AND(AX445&lt;-20,U445&gt;T445,E445&lt;55))),AND(AND(A445-AY445&lt;200,A445-AY445&gt;9),OR(AND(A445&gt;75,X445="Final Handicap"),AND(A445&gt;25,X445="1st half Handicap")),OR(AND(BK445&gt;20,U445&lt;T445,E445&gt;45),AND(BK445&lt;-20,U445&gt;T445,E445&lt;55)))),"GOOD","")</f>
        <v/>
      </c>
      <c r="BS445" s="21"/>
    </row>
    <row r="446" spans="4:71" ht="17.25" x14ac:dyDescent="0.3">
      <c r="D446" s="8" t="str">
        <f>IF(ISBLANK(T446),"",CONCATENATE(T446,"-",U446))</f>
        <v/>
      </c>
      <c r="BL446">
        <f>IF(NOT(ISBLANK(G446)),ABS(G446),0)</f>
        <v>0</v>
      </c>
      <c r="BM446">
        <f>IF(NOT(ISBLANK(AK446)),ABS(AK446),0)</f>
        <v>0</v>
      </c>
      <c r="BN446">
        <f>IF(NOT(ISBLANK(AX446)),ABS(AX446),0)</f>
        <v>0</v>
      </c>
      <c r="BO446">
        <f>IF(NOT(ISBLANK(BK446)),ABS(BK446),0)</f>
        <v>0</v>
      </c>
      <c r="BP446">
        <f>IF(ISBLANK(E446),0,ABS(E446-50))</f>
        <v>0</v>
      </c>
      <c r="BQ446" s="21" t="str">
        <f>IF(OR(ISBLANK(V446),ISBLANK(W446)),"",IF(SUM(V446,W446)=0,"",CONCATENATE(V446,"-",W446)))</f>
        <v/>
      </c>
      <c r="BR446" s="21" t="str">
        <f>IF(OR(AND(OR(AND(A446&gt;75,X446="Final Handicap"),AND(A446&gt;25,X446="1st half Handicap")),OR(AND(G446&gt;20,U446&lt;T446,E446&gt;45),AND(G446&lt;-20,U446&gt;T446,E446&lt;55))),AND(AND(A446-Y446&lt;200,A446-Y446&gt;9),OR(AND(A446&gt;75,X446="Final Handicap"),AND(A446&gt;25,X446="1st half Handicap")),OR(AND(AK446&gt;20,U446&lt;T446,E446&gt;45),AND(AK446&lt;-20,U446&gt;T446,E446&lt;55))),AND(AND(A446-AL446&lt;200,A446-AL446&gt;9),OR(AND(A446&gt;75,X446="Final Handicap"),AND(A446&gt;25,X446="1st half Handicap")),OR(AND(AX446&gt;20,U446&lt;T446,E446&gt;45),AND(AX446&lt;-20,U446&gt;T446,E446&lt;55))),AND(AND(A446-AY446&lt;200,A446-AY446&gt;9),OR(AND(A446&gt;75,X446="Final Handicap"),AND(A446&gt;25,X446="1st half Handicap")),OR(AND(BK446&gt;20,U446&lt;T446,E446&gt;45),AND(BK446&lt;-20,U446&gt;T446,E446&lt;55)))),"GOOD","")</f>
        <v/>
      </c>
      <c r="BS446" s="21"/>
    </row>
    <row r="447" spans="4:71" ht="17.25" x14ac:dyDescent="0.3">
      <c r="D447" s="8" t="str">
        <f>IF(ISBLANK(T447),"",CONCATENATE(T447,"-",U447))</f>
        <v/>
      </c>
      <c r="BL447">
        <f>IF(NOT(ISBLANK(G447)),ABS(G447),0)</f>
        <v>0</v>
      </c>
      <c r="BM447">
        <f>IF(NOT(ISBLANK(AK447)),ABS(AK447),0)</f>
        <v>0</v>
      </c>
      <c r="BN447">
        <f>IF(NOT(ISBLANK(AX447)),ABS(AX447),0)</f>
        <v>0</v>
      </c>
      <c r="BO447">
        <f>IF(NOT(ISBLANK(BK447)),ABS(BK447),0)</f>
        <v>0</v>
      </c>
      <c r="BP447">
        <f>IF(ISBLANK(E447),0,ABS(E447-50))</f>
        <v>0</v>
      </c>
      <c r="BQ447" s="21" t="str">
        <f>IF(OR(ISBLANK(V447),ISBLANK(W447)),"",IF(SUM(V447,W447)=0,"",CONCATENATE(V447,"-",W447)))</f>
        <v/>
      </c>
      <c r="BR447" s="21" t="str">
        <f>IF(OR(AND(OR(AND(A447&gt;75,X447="Final Handicap"),AND(A447&gt;25,X447="1st half Handicap")),OR(AND(G447&gt;20,U447&lt;T447,E447&gt;45),AND(G447&lt;-20,U447&gt;T447,E447&lt;55))),AND(AND(A447-Y447&lt;200,A447-Y447&gt;9),OR(AND(A447&gt;75,X447="Final Handicap"),AND(A447&gt;25,X447="1st half Handicap")),OR(AND(AK447&gt;20,U447&lt;T447,E447&gt;45),AND(AK447&lt;-20,U447&gt;T447,E447&lt;55))),AND(AND(A447-AL447&lt;200,A447-AL447&gt;9),OR(AND(A447&gt;75,X447="Final Handicap"),AND(A447&gt;25,X447="1st half Handicap")),OR(AND(AX447&gt;20,U447&lt;T447,E447&gt;45),AND(AX447&lt;-20,U447&gt;T447,E447&lt;55))),AND(AND(A447-AY447&lt;200,A447-AY447&gt;9),OR(AND(A447&gt;75,X447="Final Handicap"),AND(A447&gt;25,X447="1st half Handicap")),OR(AND(BK447&gt;20,U447&lt;T447,E447&gt;45),AND(BK447&lt;-20,U447&gt;T447,E447&lt;55)))),"GOOD","")</f>
        <v/>
      </c>
      <c r="BS447" s="21"/>
    </row>
    <row r="448" spans="4:71" ht="17.25" x14ac:dyDescent="0.3">
      <c r="D448" s="8" t="str">
        <f>IF(ISBLANK(T448),"",CONCATENATE(T448,"-",U448))</f>
        <v/>
      </c>
      <c r="BL448">
        <f>IF(NOT(ISBLANK(G448)),ABS(G448),0)</f>
        <v>0</v>
      </c>
      <c r="BM448">
        <f>IF(NOT(ISBLANK(AK448)),ABS(AK448),0)</f>
        <v>0</v>
      </c>
      <c r="BN448">
        <f>IF(NOT(ISBLANK(AX448)),ABS(AX448),0)</f>
        <v>0</v>
      </c>
      <c r="BO448">
        <f>IF(NOT(ISBLANK(BK448)),ABS(BK448),0)</f>
        <v>0</v>
      </c>
      <c r="BP448">
        <f>IF(ISBLANK(E448),0,ABS(E448-50))</f>
        <v>0</v>
      </c>
      <c r="BQ448" s="21" t="str">
        <f>IF(OR(ISBLANK(V448),ISBLANK(W448)),"",IF(SUM(V448,W448)=0,"",CONCATENATE(V448,"-",W448)))</f>
        <v/>
      </c>
      <c r="BR448" s="21" t="str">
        <f>IF(OR(AND(OR(AND(A448&gt;75,X448="Final Handicap"),AND(A448&gt;25,X448="1st half Handicap")),OR(AND(G448&gt;20,U448&lt;T448,E448&gt;45),AND(G448&lt;-20,U448&gt;T448,E448&lt;55))),AND(AND(A448-Y448&lt;200,A448-Y448&gt;9),OR(AND(A448&gt;75,X448="Final Handicap"),AND(A448&gt;25,X448="1st half Handicap")),OR(AND(AK448&gt;20,U448&lt;T448,E448&gt;45),AND(AK448&lt;-20,U448&gt;T448,E448&lt;55))),AND(AND(A448-AL448&lt;200,A448-AL448&gt;9),OR(AND(A448&gt;75,X448="Final Handicap"),AND(A448&gt;25,X448="1st half Handicap")),OR(AND(AX448&gt;20,U448&lt;T448,E448&gt;45),AND(AX448&lt;-20,U448&gt;T448,E448&lt;55))),AND(AND(A448-AY448&lt;200,A448-AY448&gt;9),OR(AND(A448&gt;75,X448="Final Handicap"),AND(A448&gt;25,X448="1st half Handicap")),OR(AND(BK448&gt;20,U448&lt;T448,E448&gt;45),AND(BK448&lt;-20,U448&gt;T448,E448&lt;55)))),"GOOD","")</f>
        <v/>
      </c>
      <c r="BS448" s="21"/>
    </row>
    <row r="449" spans="1:71" ht="17.25" x14ac:dyDescent="0.3">
      <c r="D449" s="8" t="str">
        <f>IF(ISBLANK(T449),"",CONCATENATE(T449,"-",U449))</f>
        <v/>
      </c>
      <c r="BL449">
        <f>IF(NOT(ISBLANK(G449)),ABS(G449),0)</f>
        <v>0</v>
      </c>
      <c r="BM449">
        <f>IF(NOT(ISBLANK(AK449)),ABS(AK449),0)</f>
        <v>0</v>
      </c>
      <c r="BN449">
        <f>IF(NOT(ISBLANK(AX449)),ABS(AX449),0)</f>
        <v>0</v>
      </c>
      <c r="BO449">
        <f>IF(NOT(ISBLANK(BK449)),ABS(BK449),0)</f>
        <v>0</v>
      </c>
      <c r="BP449">
        <f>IF(ISBLANK(E449),0,ABS(E449-50))</f>
        <v>0</v>
      </c>
      <c r="BQ449" s="21" t="str">
        <f>IF(OR(ISBLANK(V449),ISBLANK(W449)),"",IF(SUM(V449,W449)=0,"",CONCATENATE(V449,"-",W449)))</f>
        <v/>
      </c>
      <c r="BR449" s="21" t="str">
        <f>IF(OR(AND(OR(AND(A449&gt;75,X449="Final Handicap"),AND(A449&gt;25,X449="1st half Handicap")),OR(AND(G449&gt;20,U449&lt;T449,E449&gt;45),AND(G449&lt;-20,U449&gt;T449,E449&lt;55))),AND(AND(A449-Y449&lt;200,A449-Y449&gt;9),OR(AND(A449&gt;75,X449="Final Handicap"),AND(A449&gt;25,X449="1st half Handicap")),OR(AND(AK449&gt;20,U449&lt;T449,E449&gt;45),AND(AK449&lt;-20,U449&gt;T449,E449&lt;55))),AND(AND(A449-AL449&lt;200,A449-AL449&gt;9),OR(AND(A449&gt;75,X449="Final Handicap"),AND(A449&gt;25,X449="1st half Handicap")),OR(AND(AX449&gt;20,U449&lt;T449,E449&gt;45),AND(AX449&lt;-20,U449&gt;T449,E449&lt;55))),AND(AND(A449-AY449&lt;200,A449-AY449&gt;9),OR(AND(A449&gt;75,X449="Final Handicap"),AND(A449&gt;25,X449="1st half Handicap")),OR(AND(BK449&gt;20,U449&lt;T449,E449&gt;45),AND(BK449&lt;-20,U449&gt;T449,E449&lt;55)))),"GOOD","")</f>
        <v/>
      </c>
      <c r="BS449" s="21"/>
    </row>
    <row r="450" spans="1:71" ht="17.25" x14ac:dyDescent="0.3">
      <c r="D450" s="8" t="str">
        <f>IF(ISBLANK(T450),"",CONCATENATE(T450,"-",U450))</f>
        <v/>
      </c>
      <c r="BL450">
        <f>IF(NOT(ISBLANK(G450)),ABS(G450),0)</f>
        <v>0</v>
      </c>
      <c r="BM450">
        <f>IF(NOT(ISBLANK(AK450)),ABS(AK450),0)</f>
        <v>0</v>
      </c>
      <c r="BN450">
        <f>IF(NOT(ISBLANK(AX450)),ABS(AX450),0)</f>
        <v>0</v>
      </c>
      <c r="BO450">
        <f>IF(NOT(ISBLANK(BK450)),ABS(BK450),0)</f>
        <v>0</v>
      </c>
      <c r="BP450">
        <f>IF(ISBLANK(E450),0,ABS(E450-50))</f>
        <v>0</v>
      </c>
      <c r="BQ450" s="21" t="str">
        <f>IF(OR(ISBLANK(V450),ISBLANK(W450)),"",IF(SUM(V450,W450)=0,"",CONCATENATE(V450,"-",W450)))</f>
        <v/>
      </c>
      <c r="BR450" s="21" t="str">
        <f>IF(OR(AND(OR(AND(A450&gt;75,X450="Final Handicap"),AND(A450&gt;25,X450="1st half Handicap")),OR(AND(G450&gt;20,U450&lt;T450,E450&gt;45),AND(G450&lt;-20,U450&gt;T450,E450&lt;55))),AND(AND(A450-Y450&lt;200,A450-Y450&gt;9),OR(AND(A450&gt;75,X450="Final Handicap"),AND(A450&gt;25,X450="1st half Handicap")),OR(AND(AK450&gt;20,U450&lt;T450,E450&gt;45),AND(AK450&lt;-20,U450&gt;T450,E450&lt;55))),AND(AND(A450-AL450&lt;200,A450-AL450&gt;9),OR(AND(A450&gt;75,X450="Final Handicap"),AND(A450&gt;25,X450="1st half Handicap")),OR(AND(AX450&gt;20,U450&lt;T450,E450&gt;45),AND(AX450&lt;-20,U450&gt;T450,E450&lt;55))),AND(AND(A450-AY450&lt;200,A450-AY450&gt;9),OR(AND(A450&gt;75,X450="Final Handicap"),AND(A450&gt;25,X450="1st half Handicap")),OR(AND(BK450&gt;20,U450&lt;T450,E450&gt;45),AND(BK450&lt;-20,U450&gt;T450,E450&lt;55)))),"GOOD","")</f>
        <v/>
      </c>
      <c r="BS450" s="21"/>
    </row>
    <row r="451" spans="1:71" ht="17.25" x14ac:dyDescent="0.3">
      <c r="D451" s="8" t="str">
        <f>IF(ISBLANK(T451),"",CONCATENATE(T451,"-",U451))</f>
        <v/>
      </c>
      <c r="BL451">
        <f>IF(NOT(ISBLANK(G451)),ABS(G451),0)</f>
        <v>0</v>
      </c>
      <c r="BM451">
        <f>IF(NOT(ISBLANK(AK451)),ABS(AK451),0)</f>
        <v>0</v>
      </c>
      <c r="BN451">
        <f>IF(NOT(ISBLANK(AX451)),ABS(AX451),0)</f>
        <v>0</v>
      </c>
      <c r="BO451">
        <f>IF(NOT(ISBLANK(BK451)),ABS(BK451),0)</f>
        <v>0</v>
      </c>
      <c r="BP451">
        <f>IF(ISBLANK(E451),0,ABS(E451-50))</f>
        <v>0</v>
      </c>
      <c r="BQ451" s="21" t="str">
        <f>IF(OR(ISBLANK(V451),ISBLANK(W451)),"",IF(SUM(V451,W451)=0,"",CONCATENATE(V451,"-",W451)))</f>
        <v/>
      </c>
      <c r="BR451" s="21" t="str">
        <f>IF(OR(AND(OR(AND(A451&gt;75,X451="Final Handicap"),AND(A451&gt;25,X451="1st half Handicap")),OR(AND(G451&gt;20,U451&lt;T451,E451&gt;45),AND(G451&lt;-20,U451&gt;T451,E451&lt;55))),AND(AND(A451-Y451&lt;200,A451-Y451&gt;9),OR(AND(A451&gt;75,X451="Final Handicap"),AND(A451&gt;25,X451="1st half Handicap")),OR(AND(AK451&gt;20,U451&lt;T451,E451&gt;45),AND(AK451&lt;-20,U451&gt;T451,E451&lt;55))),AND(AND(A451-AL451&lt;200,A451-AL451&gt;9),OR(AND(A451&gt;75,X451="Final Handicap"),AND(A451&gt;25,X451="1st half Handicap")),OR(AND(AX451&gt;20,U451&lt;T451,E451&gt;45),AND(AX451&lt;-20,U451&gt;T451,E451&lt;55))),AND(AND(A451-AY451&lt;200,A451-AY451&gt;9),OR(AND(A451&gt;75,X451="Final Handicap"),AND(A451&gt;25,X451="1st half Handicap")),OR(AND(BK451&gt;20,U451&lt;T451,E451&gt;45),AND(BK451&lt;-20,U451&gt;T451,E451&lt;55)))),"GOOD","")</f>
        <v/>
      </c>
      <c r="BS451" s="21"/>
    </row>
    <row r="452" spans="1:71" ht="17.25" x14ac:dyDescent="0.3">
      <c r="D452" s="8" t="str">
        <f>IF(ISBLANK(T452),"",CONCATENATE(T452,"-",U452))</f>
        <v/>
      </c>
      <c r="BL452">
        <f>IF(NOT(ISBLANK(G452)),ABS(G452),0)</f>
        <v>0</v>
      </c>
      <c r="BM452">
        <f>IF(NOT(ISBLANK(AK452)),ABS(AK452),0)</f>
        <v>0</v>
      </c>
      <c r="BN452">
        <f>IF(NOT(ISBLANK(AX452)),ABS(AX452),0)</f>
        <v>0</v>
      </c>
      <c r="BO452">
        <f>IF(NOT(ISBLANK(BK452)),ABS(BK452),0)</f>
        <v>0</v>
      </c>
      <c r="BP452">
        <f>IF(ISBLANK(E452),0,ABS(E452-50))</f>
        <v>0</v>
      </c>
      <c r="BQ452" s="21" t="str">
        <f>IF(OR(ISBLANK(V452),ISBLANK(W452)),"",IF(SUM(V452,W452)=0,"",CONCATENATE(V452,"-",W452)))</f>
        <v/>
      </c>
      <c r="BR452" s="21" t="str">
        <f>IF(OR(AND(OR(AND(A452&gt;75,X452="Final Handicap"),AND(A452&gt;25,X452="1st half Handicap")),OR(AND(G452&gt;20,U452&lt;T452,E452&gt;45),AND(G452&lt;-20,U452&gt;T452,E452&lt;55))),AND(AND(A452-Y452&lt;200,A452-Y452&gt;9),OR(AND(A452&gt;75,X452="Final Handicap"),AND(A452&gt;25,X452="1st half Handicap")),OR(AND(AK452&gt;20,U452&lt;T452,E452&gt;45),AND(AK452&lt;-20,U452&gt;T452,E452&lt;55))),AND(AND(A452-AL452&lt;200,A452-AL452&gt;9),OR(AND(A452&gt;75,X452="Final Handicap"),AND(A452&gt;25,X452="1st half Handicap")),OR(AND(AX452&gt;20,U452&lt;T452,E452&gt;45),AND(AX452&lt;-20,U452&gt;T452,E452&lt;55))),AND(AND(A452-AY452&lt;200,A452-AY452&gt;9),OR(AND(A452&gt;75,X452="Final Handicap"),AND(A452&gt;25,X452="1st half Handicap")),OR(AND(BK452&gt;20,U452&lt;T452,E452&gt;45),AND(BK452&lt;-20,U452&gt;T452,E452&lt;55)))),"GOOD","")</f>
        <v/>
      </c>
      <c r="BS452" s="21"/>
    </row>
    <row r="453" spans="1:71" ht="17.25" x14ac:dyDescent="0.3">
      <c r="D453" s="8" t="str">
        <f>IF(ISBLANK(T453),"",CONCATENATE(T453,"-",U453))</f>
        <v/>
      </c>
      <c r="BL453">
        <f>IF(NOT(ISBLANK(G453)),ABS(G453),0)</f>
        <v>0</v>
      </c>
      <c r="BM453">
        <f>IF(NOT(ISBLANK(AK453)),ABS(AK453),0)</f>
        <v>0</v>
      </c>
      <c r="BN453">
        <f>IF(NOT(ISBLANK(AX453)),ABS(AX453),0)</f>
        <v>0</v>
      </c>
      <c r="BO453">
        <f>IF(NOT(ISBLANK(BK453)),ABS(BK453),0)</f>
        <v>0</v>
      </c>
      <c r="BP453">
        <f>IF(ISBLANK(E453),0,ABS(E453-50))</f>
        <v>0</v>
      </c>
      <c r="BQ453" s="21" t="str">
        <f>IF(OR(ISBLANK(V453),ISBLANK(W453)),"",IF(SUM(V453,W453)=0,"",CONCATENATE(V453,"-",W453)))</f>
        <v/>
      </c>
      <c r="BR453" s="21" t="str">
        <f>IF(OR(AND(OR(AND(A453&gt;75,X453="Final Handicap"),AND(A453&gt;25,X453="1st half Handicap")),OR(AND(G453&gt;20,U453&lt;T453,E453&gt;45),AND(G453&lt;-20,U453&gt;T453,E453&lt;55))),AND(AND(A453-Y453&lt;200,A453-Y453&gt;9),OR(AND(A453&gt;75,X453="Final Handicap"),AND(A453&gt;25,X453="1st half Handicap")),OR(AND(AK453&gt;20,U453&lt;T453,E453&gt;45),AND(AK453&lt;-20,U453&gt;T453,E453&lt;55))),AND(AND(A453-AL453&lt;200,A453-AL453&gt;9),OR(AND(A453&gt;75,X453="Final Handicap"),AND(A453&gt;25,X453="1st half Handicap")),OR(AND(AX453&gt;20,U453&lt;T453,E453&gt;45),AND(AX453&lt;-20,U453&gt;T453,E453&lt;55))),AND(AND(A453-AY453&lt;200,A453-AY453&gt;9),OR(AND(A453&gt;75,X453="Final Handicap"),AND(A453&gt;25,X453="1st half Handicap")),OR(AND(BK453&gt;20,U453&lt;T453,E453&gt;45),AND(BK453&lt;-20,U453&gt;T453,E453&lt;55)))),"GOOD","")</f>
        <v/>
      </c>
      <c r="BS453" s="21"/>
    </row>
    <row r="454" spans="1:71" ht="17.25" x14ac:dyDescent="0.3">
      <c r="D454" s="8" t="str">
        <f>IF(ISBLANK(T454),"",CONCATENATE(T454,"-",U454))</f>
        <v/>
      </c>
      <c r="BL454">
        <f>IF(NOT(ISBLANK(G454)),ABS(G454),0)</f>
        <v>0</v>
      </c>
      <c r="BM454">
        <f>IF(NOT(ISBLANK(AK454)),ABS(AK454),0)</f>
        <v>0</v>
      </c>
      <c r="BN454">
        <f>IF(NOT(ISBLANK(AX454)),ABS(AX454),0)</f>
        <v>0</v>
      </c>
      <c r="BO454">
        <f>IF(NOT(ISBLANK(BK454)),ABS(BK454),0)</f>
        <v>0</v>
      </c>
      <c r="BP454">
        <f>IF(ISBLANK(E454),0,ABS(E454-50))</f>
        <v>0</v>
      </c>
      <c r="BQ454" s="21" t="str">
        <f>IF(OR(ISBLANK(V454),ISBLANK(W454)),"",IF(SUM(V454,W454)=0,"",CONCATENATE(V454,"-",W454)))</f>
        <v/>
      </c>
      <c r="BR454" s="21" t="str">
        <f>IF(OR(AND(OR(AND(A454&gt;75,X454="Final Handicap"),AND(A454&gt;25,X454="1st half Handicap")),OR(AND(G454&gt;20,U454&lt;T454,E454&gt;45),AND(G454&lt;-20,U454&gt;T454,E454&lt;55))),AND(AND(A454-Y454&lt;200,A454-Y454&gt;9),OR(AND(A454&gt;75,X454="Final Handicap"),AND(A454&gt;25,X454="1st half Handicap")),OR(AND(AK454&gt;20,U454&lt;T454,E454&gt;45),AND(AK454&lt;-20,U454&gt;T454,E454&lt;55))),AND(AND(A454-AL454&lt;200,A454-AL454&gt;9),OR(AND(A454&gt;75,X454="Final Handicap"),AND(A454&gt;25,X454="1st half Handicap")),OR(AND(AX454&gt;20,U454&lt;T454,E454&gt;45),AND(AX454&lt;-20,U454&gt;T454,E454&lt;55))),AND(AND(A454-AY454&lt;200,A454-AY454&gt;9),OR(AND(A454&gt;75,X454="Final Handicap"),AND(A454&gt;25,X454="1st half Handicap")),OR(AND(BK454&gt;20,U454&lt;T454,E454&gt;45),AND(BK454&lt;-20,U454&gt;T454,E454&lt;55)))),"GOOD","")</f>
        <v/>
      </c>
      <c r="BS454" s="21"/>
    </row>
    <row r="455" spans="1:71" ht="17.25" x14ac:dyDescent="0.3">
      <c r="D455" s="8" t="str">
        <f>IF(ISBLANK(T455),"",CONCATENATE(T455,"-",U455))</f>
        <v/>
      </c>
      <c r="BL455">
        <f>IF(NOT(ISBLANK(G455)),ABS(G455),0)</f>
        <v>0</v>
      </c>
      <c r="BM455">
        <f>IF(NOT(ISBLANK(AK455)),ABS(AK455),0)</f>
        <v>0</v>
      </c>
      <c r="BN455">
        <f>IF(NOT(ISBLANK(AX455)),ABS(AX455),0)</f>
        <v>0</v>
      </c>
      <c r="BO455">
        <f>IF(NOT(ISBLANK(BK455)),ABS(BK455),0)</f>
        <v>0</v>
      </c>
      <c r="BP455">
        <f>IF(ISBLANK(E455),0,ABS(E455-50))</f>
        <v>0</v>
      </c>
      <c r="BQ455" s="21" t="str">
        <f>IF(OR(ISBLANK(V455),ISBLANK(W455)),"",IF(SUM(V455,W455)=0,"",CONCATENATE(V455,"-",W455)))</f>
        <v/>
      </c>
      <c r="BR455" s="21" t="str">
        <f>IF(OR(AND(OR(AND(A455&gt;75,X455="Final Handicap"),AND(A455&gt;25,X455="1st half Handicap")),OR(AND(G455&gt;20,U455&lt;T455,E455&gt;45),AND(G455&lt;-20,U455&gt;T455,E455&lt;55))),AND(AND(A455-Y455&lt;200,A455-Y455&gt;9),OR(AND(A455&gt;75,X455="Final Handicap"),AND(A455&gt;25,X455="1st half Handicap")),OR(AND(AK455&gt;20,U455&lt;T455,E455&gt;45),AND(AK455&lt;-20,U455&gt;T455,E455&lt;55))),AND(AND(A455-AL455&lt;200,A455-AL455&gt;9),OR(AND(A455&gt;75,X455="Final Handicap"),AND(A455&gt;25,X455="1st half Handicap")),OR(AND(AX455&gt;20,U455&lt;T455,E455&gt;45),AND(AX455&lt;-20,U455&gt;T455,E455&lt;55))),AND(AND(A455-AY455&lt;200,A455-AY455&gt;9),OR(AND(A455&gt;75,X455="Final Handicap"),AND(A455&gt;25,X455="1st half Handicap")),OR(AND(BK455&gt;20,U455&lt;T455,E455&gt;45),AND(BK455&lt;-20,U455&gt;T455,E455&lt;55)))),"GOOD","")</f>
        <v/>
      </c>
      <c r="BS455" s="21"/>
    </row>
    <row r="456" spans="1:71" ht="17.25" x14ac:dyDescent="0.3">
      <c r="D456" s="8" t="str">
        <f>IF(ISBLANK(T456),"",CONCATENATE(T456,"-",U456))</f>
        <v/>
      </c>
      <c r="BL456">
        <f>IF(NOT(ISBLANK(G456)),ABS(G456),0)</f>
        <v>0</v>
      </c>
      <c r="BM456">
        <f>IF(NOT(ISBLANK(AK456)),ABS(AK456),0)</f>
        <v>0</v>
      </c>
      <c r="BN456">
        <f>IF(NOT(ISBLANK(AX456)),ABS(AX456),0)</f>
        <v>0</v>
      </c>
      <c r="BO456">
        <f>IF(NOT(ISBLANK(BK456)),ABS(BK456),0)</f>
        <v>0</v>
      </c>
      <c r="BP456">
        <f>IF(ISBLANK(E456),0,ABS(E456-50))</f>
        <v>0</v>
      </c>
      <c r="BQ456" s="21" t="str">
        <f>IF(OR(ISBLANK(V456),ISBLANK(W456)),"",IF(SUM(V456,W456)=0,"",CONCATENATE(V456,"-",W456)))</f>
        <v/>
      </c>
      <c r="BR456" s="21" t="str">
        <f>IF(OR(AND(OR(AND(A456&gt;75,X456="Final Handicap"),AND(A456&gt;25,X456="1st half Handicap")),OR(AND(G456&gt;20,U456&lt;T456,E456&gt;45),AND(G456&lt;-20,U456&gt;T456,E456&lt;55))),AND(AND(A456-Y456&lt;200,A456-Y456&gt;9),OR(AND(A456&gt;75,X456="Final Handicap"),AND(A456&gt;25,X456="1st half Handicap")),OR(AND(AK456&gt;20,U456&lt;T456,E456&gt;45),AND(AK456&lt;-20,U456&gt;T456,E456&lt;55))),AND(AND(A456-AL456&lt;200,A456-AL456&gt;9),OR(AND(A456&gt;75,X456="Final Handicap"),AND(A456&gt;25,X456="1st half Handicap")),OR(AND(AX456&gt;20,U456&lt;T456,E456&gt;45),AND(AX456&lt;-20,U456&gt;T456,E456&lt;55))),AND(AND(A456-AY456&lt;200,A456-AY456&gt;9),OR(AND(A456&gt;75,X456="Final Handicap"),AND(A456&gt;25,X456="1st half Handicap")),OR(AND(BK456&gt;20,U456&lt;T456,E456&gt;45),AND(BK456&lt;-20,U456&gt;T456,E456&lt;55)))),"GOOD","")</f>
        <v/>
      </c>
      <c r="BS456" s="21"/>
    </row>
    <row r="457" spans="1:71" ht="17.25" x14ac:dyDescent="0.3">
      <c r="D457" s="8" t="str">
        <f>IF(ISBLANK(T457),"",CONCATENATE(T457,"-",U457))</f>
        <v/>
      </c>
      <c r="BL457">
        <f>IF(NOT(ISBLANK(G457)),ABS(G457),0)</f>
        <v>0</v>
      </c>
      <c r="BM457">
        <f>IF(NOT(ISBLANK(AK457)),ABS(AK457),0)</f>
        <v>0</v>
      </c>
      <c r="BN457">
        <f>IF(NOT(ISBLANK(AX457)),ABS(AX457),0)</f>
        <v>0</v>
      </c>
      <c r="BO457">
        <f>IF(NOT(ISBLANK(BK457)),ABS(BK457),0)</f>
        <v>0</v>
      </c>
      <c r="BP457">
        <f>IF(ISBLANK(E457),0,ABS(E457-50))</f>
        <v>0</v>
      </c>
      <c r="BQ457" s="21" t="str">
        <f>IF(OR(ISBLANK(V457),ISBLANK(W457)),"",IF(SUM(V457,W457)=0,"",CONCATENATE(V457,"-",W457)))</f>
        <v/>
      </c>
      <c r="BR457" s="21" t="str">
        <f>IF(OR(AND(OR(AND(A457&gt;75,X457="Final Handicap"),AND(A457&gt;25,X457="1st half Handicap")),OR(AND(G457&gt;20,U457&lt;T457,E457&gt;45),AND(G457&lt;-20,U457&gt;T457,E457&lt;55))),AND(AND(A457-Y457&lt;200,A457-Y457&gt;9),OR(AND(A457&gt;75,X457="Final Handicap"),AND(A457&gt;25,X457="1st half Handicap")),OR(AND(AK457&gt;20,U457&lt;T457,E457&gt;45),AND(AK457&lt;-20,U457&gt;T457,E457&lt;55))),AND(AND(A457-AL457&lt;200,A457-AL457&gt;9),OR(AND(A457&gt;75,X457="Final Handicap"),AND(A457&gt;25,X457="1st half Handicap")),OR(AND(AX457&gt;20,U457&lt;T457,E457&gt;45),AND(AX457&lt;-20,U457&gt;T457,E457&lt;55))),AND(AND(A457-AY457&lt;200,A457-AY457&gt;9),OR(AND(A457&gt;75,X457="Final Handicap"),AND(A457&gt;25,X457="1st half Handicap")),OR(AND(BK457&gt;20,U457&lt;T457,E457&gt;45),AND(BK457&lt;-20,U457&gt;T457,E457&lt;55)))),"GOOD","")</f>
        <v/>
      </c>
      <c r="BS457" s="21"/>
    </row>
    <row r="458" spans="1:71" ht="17.25" x14ac:dyDescent="0.3">
      <c r="D458" s="8" t="str">
        <f>IF(ISBLANK(T458),"",CONCATENATE(T458,"-",U458))</f>
        <v/>
      </c>
      <c r="BL458">
        <f>IF(NOT(ISBLANK(G458)),ABS(G458),0)</f>
        <v>0</v>
      </c>
      <c r="BM458">
        <f>IF(NOT(ISBLANK(AK458)),ABS(AK458),0)</f>
        <v>0</v>
      </c>
      <c r="BN458">
        <f>IF(NOT(ISBLANK(AX458)),ABS(AX458),0)</f>
        <v>0</v>
      </c>
      <c r="BO458">
        <f>IF(NOT(ISBLANK(BK458)),ABS(BK458),0)</f>
        <v>0</v>
      </c>
      <c r="BP458">
        <f>IF(ISBLANK(E458),0,ABS(E458-50))</f>
        <v>0</v>
      </c>
      <c r="BQ458" s="21" t="str">
        <f>IF(OR(ISBLANK(V458),ISBLANK(W458)),"",IF(SUM(V458,W458)=0,"",CONCATENATE(V458,"-",W458)))</f>
        <v/>
      </c>
      <c r="BR458" s="21" t="str">
        <f>IF(OR(AND(OR(AND(A458&gt;75,X458="Final Handicap"),AND(A458&gt;25,X458="1st half Handicap")),OR(AND(G458&gt;20,U458&lt;T458,E458&gt;45),AND(G458&lt;-20,U458&gt;T458,E458&lt;55))),AND(AND(A458-Y458&lt;200,A458-Y458&gt;9),OR(AND(A458&gt;75,X458="Final Handicap"),AND(A458&gt;25,X458="1st half Handicap")),OR(AND(AK458&gt;20,U458&lt;T458,E458&gt;45),AND(AK458&lt;-20,U458&gt;T458,E458&lt;55))),AND(AND(A458-AL458&lt;200,A458-AL458&gt;9),OR(AND(A458&gt;75,X458="Final Handicap"),AND(A458&gt;25,X458="1st half Handicap")),OR(AND(AX458&gt;20,U458&lt;T458,E458&gt;45),AND(AX458&lt;-20,U458&gt;T458,E458&lt;55))),AND(AND(A458-AY458&lt;200,A458-AY458&gt;9),OR(AND(A458&gt;75,X458="Final Handicap"),AND(A458&gt;25,X458="1st half Handicap")),OR(AND(BK458&gt;20,U458&lt;T458,E458&gt;45),AND(BK458&lt;-20,U458&gt;T458,E458&lt;55)))),"GOOD","")</f>
        <v/>
      </c>
      <c r="BS458" s="21"/>
    </row>
    <row r="459" spans="1:71" ht="17.25" x14ac:dyDescent="0.3">
      <c r="D459" s="8" t="str">
        <f>IF(ISBLANK(T459),"",CONCATENATE(T459,"-",U459))</f>
        <v/>
      </c>
      <c r="BL459">
        <f>IF(NOT(ISBLANK(G459)),ABS(G459),0)</f>
        <v>0</v>
      </c>
      <c r="BM459">
        <f>IF(NOT(ISBLANK(AK459)),ABS(AK459),0)</f>
        <v>0</v>
      </c>
      <c r="BN459">
        <f>IF(NOT(ISBLANK(AX459)),ABS(AX459),0)</f>
        <v>0</v>
      </c>
      <c r="BO459">
        <f>IF(NOT(ISBLANK(BK459)),ABS(BK459),0)</f>
        <v>0</v>
      </c>
      <c r="BP459">
        <f>IF(ISBLANK(E459),0,ABS(E459-50))</f>
        <v>0</v>
      </c>
      <c r="BQ459" s="21" t="str">
        <f>IF(OR(ISBLANK(V459),ISBLANK(W459)),"",IF(SUM(V459,W459)=0,"",CONCATENATE(V459,"-",W459)))</f>
        <v/>
      </c>
      <c r="BR459" s="21" t="str">
        <f>IF(OR(AND(OR(AND(A459&gt;75,X459="Final Handicap"),AND(A459&gt;25,X459="1st half Handicap")),OR(AND(G459&gt;20,U459&lt;T459,E459&gt;45),AND(G459&lt;-20,U459&gt;T459,E459&lt;55))),AND(AND(A459-Y459&lt;200,A459-Y459&gt;9),OR(AND(A459&gt;75,X459="Final Handicap"),AND(A459&gt;25,X459="1st half Handicap")),OR(AND(AK459&gt;20,U459&lt;T459,E459&gt;45),AND(AK459&lt;-20,U459&gt;T459,E459&lt;55))),AND(AND(A459-AL459&lt;200,A459-AL459&gt;9),OR(AND(A459&gt;75,X459="Final Handicap"),AND(A459&gt;25,X459="1st half Handicap")),OR(AND(AX459&gt;20,U459&lt;T459,E459&gt;45),AND(AX459&lt;-20,U459&gt;T459,E459&lt;55))),AND(AND(A459-AY459&lt;200,A459-AY459&gt;9),OR(AND(A459&gt;75,X459="Final Handicap"),AND(A459&gt;25,X459="1st half Handicap")),OR(AND(BK459&gt;20,U459&lt;T459,E459&gt;45),AND(BK459&lt;-20,U459&gt;T459,E459&lt;55)))),"GOOD","")</f>
        <v/>
      </c>
      <c r="BS459" s="21"/>
    </row>
    <row r="460" spans="1:71" ht="17.25" x14ac:dyDescent="0.3">
      <c r="D460" s="8" t="str">
        <f>IF(ISBLANK(T460),"",CONCATENATE(T460,"-",U460))</f>
        <v/>
      </c>
      <c r="BL460">
        <f>IF(NOT(ISBLANK(G460)),ABS(G460),0)</f>
        <v>0</v>
      </c>
      <c r="BM460">
        <f>IF(NOT(ISBLANK(AK460)),ABS(AK460),0)</f>
        <v>0</v>
      </c>
      <c r="BN460">
        <f>IF(NOT(ISBLANK(AX460)),ABS(AX460),0)</f>
        <v>0</v>
      </c>
      <c r="BO460">
        <f>IF(NOT(ISBLANK(BK460)),ABS(BK460),0)</f>
        <v>0</v>
      </c>
      <c r="BP460">
        <f>IF(ISBLANK(E460),0,ABS(E460-50))</f>
        <v>0</v>
      </c>
      <c r="BQ460" s="21" t="str">
        <f>IF(OR(ISBLANK(V460),ISBLANK(W460)),"",IF(SUM(V460,W460)=0,"",CONCATENATE(V460,"-",W460)))</f>
        <v/>
      </c>
      <c r="BR460" s="21" t="str">
        <f>IF(OR(AND(OR(AND(A460&gt;75,X460="Final Handicap"),AND(A460&gt;25,X460="1st half Handicap")),OR(AND(G460&gt;20,U460&lt;T460,E460&gt;45),AND(G460&lt;-20,U460&gt;T460,E460&lt;55))),AND(AND(A460-Y460&lt;200,A460-Y460&gt;9),OR(AND(A460&gt;75,X460="Final Handicap"),AND(A460&gt;25,X460="1st half Handicap")),OR(AND(AK460&gt;20,U460&lt;T460,E460&gt;45),AND(AK460&lt;-20,U460&gt;T460,E460&lt;55))),AND(AND(A460-AL460&lt;200,A460-AL460&gt;9),OR(AND(A460&gt;75,X460="Final Handicap"),AND(A460&gt;25,X460="1st half Handicap")),OR(AND(AX460&gt;20,U460&lt;T460,E460&gt;45),AND(AX460&lt;-20,U460&gt;T460,E460&lt;55))),AND(AND(A460-AY460&lt;200,A460-AY460&gt;9),OR(AND(A460&gt;75,X460="Final Handicap"),AND(A460&gt;25,X460="1st half Handicap")),OR(AND(BK460&gt;20,U460&lt;T460,E460&gt;45),AND(BK460&lt;-20,U460&gt;T460,E460&lt;55)))),"GOOD","")</f>
        <v/>
      </c>
      <c r="BS460" s="21"/>
    </row>
    <row r="461" spans="1:71" ht="17.25" x14ac:dyDescent="0.3">
      <c r="D461" s="8" t="str">
        <f>IF(ISBLANK(T461),"",CONCATENATE(T461,"-",U461))</f>
        <v/>
      </c>
      <c r="BL461">
        <f>IF(NOT(ISBLANK(G461)),ABS(G461),0)</f>
        <v>0</v>
      </c>
      <c r="BM461">
        <f>IF(NOT(ISBLANK(AK461)),ABS(AK461),0)</f>
        <v>0</v>
      </c>
      <c r="BN461">
        <f>IF(NOT(ISBLANK(AX461)),ABS(AX461),0)</f>
        <v>0</v>
      </c>
      <c r="BO461">
        <f>IF(NOT(ISBLANK(BK461)),ABS(BK461),0)</f>
        <v>0</v>
      </c>
      <c r="BP461">
        <f>IF(ISBLANK(E461),0,ABS(E461-50))</f>
        <v>0</v>
      </c>
      <c r="BQ461" s="21" t="str">
        <f>IF(OR(ISBLANK(V461),ISBLANK(W461)),"",IF(SUM(V461,W461)=0,"",CONCATENATE(V461,"-",W461)))</f>
        <v/>
      </c>
      <c r="BR461" s="21" t="str">
        <f>IF(OR(AND(OR(AND(A461&gt;75,X461="Final Handicap"),AND(A461&gt;25,X461="1st half Handicap")),OR(AND(G461&gt;20,U461&lt;T461,E461&gt;45),AND(G461&lt;-20,U461&gt;T461,E461&lt;55))),AND(AND(A461-Y461&lt;200,A461-Y461&gt;9),OR(AND(A461&gt;75,X461="Final Handicap"),AND(A461&gt;25,X461="1st half Handicap")),OR(AND(AK461&gt;20,U461&lt;T461,E461&gt;45),AND(AK461&lt;-20,U461&gt;T461,E461&lt;55))),AND(AND(A461-AL461&lt;200,A461-AL461&gt;9),OR(AND(A461&gt;75,X461="Final Handicap"),AND(A461&gt;25,X461="1st half Handicap")),OR(AND(AX461&gt;20,U461&lt;T461,E461&gt;45),AND(AX461&lt;-20,U461&gt;T461,E461&lt;55))),AND(AND(A461-AY461&lt;200,A461-AY461&gt;9),OR(AND(A461&gt;75,X461="Final Handicap"),AND(A461&gt;25,X461="1st half Handicap")),OR(AND(BK461&gt;20,U461&lt;T461,E461&gt;45),AND(BK461&lt;-20,U461&gt;T461,E461&lt;55)))),"GOOD","")</f>
        <v/>
      </c>
      <c r="BS461" s="21"/>
    </row>
    <row r="462" spans="1:71" ht="17.25" x14ac:dyDescent="0.3">
      <c r="D462" s="8" t="str">
        <f>IF(ISBLANK(T462),"",CONCATENATE(T462,"-",U462))</f>
        <v/>
      </c>
      <c r="BL462">
        <f>IF(NOT(ISBLANK(G462)),ABS(G462),0)</f>
        <v>0</v>
      </c>
      <c r="BM462">
        <f>IF(NOT(ISBLANK(AK462)),ABS(AK462),0)</f>
        <v>0</v>
      </c>
      <c r="BN462">
        <f>IF(NOT(ISBLANK(AX462)),ABS(AX462),0)</f>
        <v>0</v>
      </c>
      <c r="BO462">
        <f>IF(NOT(ISBLANK(BK462)),ABS(BK462),0)</f>
        <v>0</v>
      </c>
      <c r="BP462">
        <f>IF(ISBLANK(E462),0,ABS(E462-50))</f>
        <v>0</v>
      </c>
      <c r="BQ462" s="21" t="str">
        <f>IF(OR(ISBLANK(V462),ISBLANK(W462)),"",IF(SUM(V462,W462)=0,"",CONCATENATE(V462,"-",W462)))</f>
        <v/>
      </c>
      <c r="BR462" s="21" t="str">
        <f>IF(OR(AND(OR(AND(A462&gt;75,X462="Final Handicap"),AND(A462&gt;25,X462="1st half Handicap")),OR(AND(G462&gt;20,U462&lt;T462,E462&gt;45),AND(G462&lt;-20,U462&gt;T462,E462&lt;55))),AND(AND(A462-Y462&lt;200,A462-Y462&gt;9),OR(AND(A462&gt;75,X462="Final Handicap"),AND(A462&gt;25,X462="1st half Handicap")),OR(AND(AK462&gt;20,U462&lt;T462,E462&gt;45),AND(AK462&lt;-20,U462&gt;T462,E462&lt;55))),AND(AND(A462-AL462&lt;200,A462-AL462&gt;9),OR(AND(A462&gt;75,X462="Final Handicap"),AND(A462&gt;25,X462="1st half Handicap")),OR(AND(AX462&gt;20,U462&lt;T462,E462&gt;45),AND(AX462&lt;-20,U462&gt;T462,E462&lt;55))),AND(AND(A462-AY462&lt;200,A462-AY462&gt;9),OR(AND(A462&gt;75,X462="Final Handicap"),AND(A462&gt;25,X462="1st half Handicap")),OR(AND(BK462&gt;20,U462&lt;T462,E462&gt;45),AND(BK462&lt;-20,U462&gt;T462,E462&lt;55)))),"GOOD","")</f>
        <v/>
      </c>
      <c r="BS462" s="21"/>
    </row>
    <row r="463" spans="1:71" ht="17.25" x14ac:dyDescent="0.3">
      <c r="A463" s="3"/>
      <c r="D463" s="8" t="str">
        <f>IF(ISBLANK(T463),"",CONCATENATE(T463,"-",U463))</f>
        <v/>
      </c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>
        <f>IF(NOT(ISBLANK(G463)),ABS(G463),0)</f>
        <v>0</v>
      </c>
      <c r="BM463">
        <f>IF(NOT(ISBLANK(AK463)),ABS(AK463),0)</f>
        <v>0</v>
      </c>
      <c r="BN463">
        <f>IF(NOT(ISBLANK(AX463)),ABS(AX463),0)</f>
        <v>0</v>
      </c>
      <c r="BO463">
        <f>IF(NOT(ISBLANK(BK463)),ABS(BK463),0)</f>
        <v>0</v>
      </c>
      <c r="BP463">
        <f>IF(ISBLANK(E463),0,ABS(E463-50))</f>
        <v>0</v>
      </c>
      <c r="BQ463" s="21" t="str">
        <f>IF(OR(ISBLANK(V463),ISBLANK(W463)),"",IF(SUM(V463,W463)=0,"",CONCATENATE(V463,"-",W463)))</f>
        <v/>
      </c>
      <c r="BR463" s="21" t="str">
        <f>IF(OR(AND(OR(AND(A463&gt;75,X463="Final Handicap"),AND(A463&gt;25,X463="1st half Handicap")),OR(AND(G463&gt;20,U463&lt;T463,E463&gt;45),AND(G463&lt;-20,U463&gt;T463,E463&lt;55))),AND(AND(A463-Y463&lt;200,A463-Y463&gt;9),OR(AND(A463&gt;75,X463="Final Handicap"),AND(A463&gt;25,X463="1st half Handicap")),OR(AND(AK463&gt;20,U463&lt;T463,E463&gt;45),AND(AK463&lt;-20,U463&gt;T463,E463&lt;55))),AND(AND(A463-AL463&lt;200,A463-AL463&gt;9),OR(AND(A463&gt;75,X463="Final Handicap"),AND(A463&gt;25,X463="1st half Handicap")),OR(AND(AX463&gt;20,U463&lt;T463,E463&gt;45),AND(AX463&lt;-20,U463&gt;T463,E463&lt;55))),AND(AND(A463-AY463&lt;200,A463-AY463&gt;9),OR(AND(A463&gt;75,X463="Final Handicap"),AND(A463&gt;25,X463="1st half Handicap")),OR(AND(BK463&gt;20,U463&lt;T463,E463&gt;45),AND(BK463&lt;-20,U463&gt;T463,E463&lt;55)))),"GOOD","")</f>
        <v/>
      </c>
      <c r="BS463" s="21"/>
    </row>
    <row r="464" spans="1:71" ht="17.25" x14ac:dyDescent="0.3">
      <c r="A464" s="3"/>
      <c r="D464" s="8" t="str">
        <f>IF(ISBLANK(T464),"",CONCATENATE(T464,"-",U464))</f>
        <v/>
      </c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>
        <f>IF(NOT(ISBLANK(G464)),ABS(G464),0)</f>
        <v>0</v>
      </c>
      <c r="BM464">
        <f>IF(NOT(ISBLANK(AK464)),ABS(AK464),0)</f>
        <v>0</v>
      </c>
      <c r="BN464">
        <f>IF(NOT(ISBLANK(AX464)),ABS(AX464),0)</f>
        <v>0</v>
      </c>
      <c r="BO464">
        <f>IF(NOT(ISBLANK(BK464)),ABS(BK464),0)</f>
        <v>0</v>
      </c>
      <c r="BP464">
        <f>IF(ISBLANK(E464),0,ABS(E464-50))</f>
        <v>0</v>
      </c>
      <c r="BQ464" s="21" t="str">
        <f>IF(OR(ISBLANK(V464),ISBLANK(W464)),"",IF(SUM(V464,W464)=0,"",CONCATENATE(V464,"-",W464)))</f>
        <v/>
      </c>
      <c r="BR464" s="21" t="str">
        <f>IF(OR(AND(OR(AND(A464&gt;75,X464="Final Handicap"),AND(A464&gt;25,X464="1st half Handicap")),OR(AND(G464&gt;20,U464&lt;T464,E464&gt;45),AND(G464&lt;-20,U464&gt;T464,E464&lt;55))),AND(AND(A464-Y464&lt;200,A464-Y464&gt;9),OR(AND(A464&gt;75,X464="Final Handicap"),AND(A464&gt;25,X464="1st half Handicap")),OR(AND(AK464&gt;20,U464&lt;T464,E464&gt;45),AND(AK464&lt;-20,U464&gt;T464,E464&lt;55))),AND(AND(A464-AL464&lt;200,A464-AL464&gt;9),OR(AND(A464&gt;75,X464="Final Handicap"),AND(A464&gt;25,X464="1st half Handicap")),OR(AND(AX464&gt;20,U464&lt;T464,E464&gt;45),AND(AX464&lt;-20,U464&gt;T464,E464&lt;55))),AND(AND(A464-AY464&lt;200,A464-AY464&gt;9),OR(AND(A464&gt;75,X464="Final Handicap"),AND(A464&gt;25,X464="1st half Handicap")),OR(AND(BK464&gt;20,U464&lt;T464,E464&gt;45),AND(BK464&lt;-20,U464&gt;T464,E464&lt;55)))),"GOOD","")</f>
        <v/>
      </c>
      <c r="BS464" s="21"/>
    </row>
    <row r="465" spans="1:71" ht="17.25" x14ac:dyDescent="0.3">
      <c r="A465" s="3"/>
      <c r="D465" s="8" t="str">
        <f>IF(ISBLANK(T465),"",CONCATENATE(T465,"-",U465))</f>
        <v/>
      </c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>
        <f>IF(NOT(ISBLANK(G465)),ABS(G465),0)</f>
        <v>0</v>
      </c>
      <c r="BM465">
        <f>IF(NOT(ISBLANK(AK465)),ABS(AK465),0)</f>
        <v>0</v>
      </c>
      <c r="BN465">
        <f>IF(NOT(ISBLANK(AX465)),ABS(AX465),0)</f>
        <v>0</v>
      </c>
      <c r="BO465">
        <f>IF(NOT(ISBLANK(BK465)),ABS(BK465),0)</f>
        <v>0</v>
      </c>
      <c r="BP465">
        <f>IF(ISBLANK(E465),0,ABS(E465-50))</f>
        <v>0</v>
      </c>
      <c r="BQ465" s="21" t="str">
        <f>IF(OR(ISBLANK(V465),ISBLANK(W465)),"",IF(SUM(V465,W465)=0,"",CONCATENATE(V465,"-",W465)))</f>
        <v/>
      </c>
      <c r="BR465" s="21" t="str">
        <f>IF(OR(AND(OR(AND(A465&gt;75,X465="Final Handicap"),AND(A465&gt;25,X465="1st half Handicap")),OR(AND(G465&gt;20,U465&lt;T465,E465&gt;45),AND(G465&lt;-20,U465&gt;T465,E465&lt;55))),AND(AND(A465-Y465&lt;200,A465-Y465&gt;9),OR(AND(A465&gt;75,X465="Final Handicap"),AND(A465&gt;25,X465="1st half Handicap")),OR(AND(AK465&gt;20,U465&lt;T465,E465&gt;45),AND(AK465&lt;-20,U465&gt;T465,E465&lt;55))),AND(AND(A465-AL465&lt;200,A465-AL465&gt;9),OR(AND(A465&gt;75,X465="Final Handicap"),AND(A465&gt;25,X465="1st half Handicap")),OR(AND(AX465&gt;20,U465&lt;T465,E465&gt;45),AND(AX465&lt;-20,U465&gt;T465,E465&lt;55))),AND(AND(A465-AY465&lt;200,A465-AY465&gt;9),OR(AND(A465&gt;75,X465="Final Handicap"),AND(A465&gt;25,X465="1st half Handicap")),OR(AND(BK465&gt;20,U465&lt;T465,E465&gt;45),AND(BK465&lt;-20,U465&gt;T465,E465&lt;55)))),"GOOD","")</f>
        <v/>
      </c>
      <c r="BS465" s="21"/>
    </row>
    <row r="466" spans="1:71" ht="17.25" x14ac:dyDescent="0.3">
      <c r="A466" s="3"/>
      <c r="D466" s="8" t="str">
        <f>IF(ISBLANK(T466),"",CONCATENATE(T466,"-",U466))</f>
        <v/>
      </c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>
        <f>IF(NOT(ISBLANK(G466)),ABS(G466),0)</f>
        <v>0</v>
      </c>
      <c r="BM466">
        <f>IF(NOT(ISBLANK(AK466)),ABS(AK466),0)</f>
        <v>0</v>
      </c>
      <c r="BN466">
        <f>IF(NOT(ISBLANK(AX466)),ABS(AX466),0)</f>
        <v>0</v>
      </c>
      <c r="BO466">
        <f>IF(NOT(ISBLANK(BK466)),ABS(BK466),0)</f>
        <v>0</v>
      </c>
      <c r="BP466">
        <f>IF(ISBLANK(E466),0,ABS(E466-50))</f>
        <v>0</v>
      </c>
      <c r="BQ466" s="21" t="str">
        <f>IF(OR(ISBLANK(V466),ISBLANK(W466)),"",IF(SUM(V466,W466)=0,"",CONCATENATE(V466,"-",W466)))</f>
        <v/>
      </c>
      <c r="BR466" s="21" t="str">
        <f>IF(OR(AND(OR(AND(A466&gt;75,X466="Final Handicap"),AND(A466&gt;25,X466="1st half Handicap")),OR(AND(G466&gt;20,U466&lt;T466,E466&gt;45),AND(G466&lt;-20,U466&gt;T466,E466&lt;55))),AND(AND(A466-Y466&lt;200,A466-Y466&gt;9),OR(AND(A466&gt;75,X466="Final Handicap"),AND(A466&gt;25,X466="1st half Handicap")),OR(AND(AK466&gt;20,U466&lt;T466,E466&gt;45),AND(AK466&lt;-20,U466&gt;T466,E466&lt;55))),AND(AND(A466-AL466&lt;200,A466-AL466&gt;9),OR(AND(A466&gt;75,X466="Final Handicap"),AND(A466&gt;25,X466="1st half Handicap")),OR(AND(AX466&gt;20,U466&lt;T466,E466&gt;45),AND(AX466&lt;-20,U466&gt;T466,E466&lt;55))),AND(AND(A466-AY466&lt;200,A466-AY466&gt;9),OR(AND(A466&gt;75,X466="Final Handicap"),AND(A466&gt;25,X466="1st half Handicap")),OR(AND(BK466&gt;20,U466&lt;T466,E466&gt;45),AND(BK466&lt;-20,U466&gt;T466,E466&lt;55)))),"GOOD","")</f>
        <v/>
      </c>
      <c r="BS466" s="21"/>
    </row>
    <row r="467" spans="1:71" ht="17.25" x14ac:dyDescent="0.3">
      <c r="A467" s="3"/>
      <c r="D467" s="8" t="str">
        <f>IF(ISBLANK(T467),"",CONCATENATE(T467,"-",U467))</f>
        <v/>
      </c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>
        <f>IF(NOT(ISBLANK(G467)),ABS(G467),0)</f>
        <v>0</v>
      </c>
      <c r="BM467">
        <f>IF(NOT(ISBLANK(AK467)),ABS(AK467),0)</f>
        <v>0</v>
      </c>
      <c r="BN467">
        <f>IF(NOT(ISBLANK(AX467)),ABS(AX467),0)</f>
        <v>0</v>
      </c>
      <c r="BO467">
        <f>IF(NOT(ISBLANK(BK467)),ABS(BK467),0)</f>
        <v>0</v>
      </c>
      <c r="BP467">
        <f>IF(ISBLANK(E467),0,ABS(E467-50))</f>
        <v>0</v>
      </c>
      <c r="BQ467" s="21" t="str">
        <f>IF(OR(ISBLANK(V467),ISBLANK(W467)),"",IF(SUM(V467,W467)=0,"",CONCATENATE(V467,"-",W467)))</f>
        <v/>
      </c>
      <c r="BR467" s="21" t="str">
        <f>IF(OR(AND(OR(AND(A467&gt;75,X467="Final Handicap"),AND(A467&gt;25,X467="1st half Handicap")),OR(AND(G467&gt;20,U467&lt;T467,E467&gt;45),AND(G467&lt;-20,U467&gt;T467,E467&lt;55))),AND(AND(A467-Y467&lt;200,A467-Y467&gt;9),OR(AND(A467&gt;75,X467="Final Handicap"),AND(A467&gt;25,X467="1st half Handicap")),OR(AND(AK467&gt;20,U467&lt;T467,E467&gt;45),AND(AK467&lt;-20,U467&gt;T467,E467&lt;55))),AND(AND(A467-AL467&lt;200,A467-AL467&gt;9),OR(AND(A467&gt;75,X467="Final Handicap"),AND(A467&gt;25,X467="1st half Handicap")),OR(AND(AX467&gt;20,U467&lt;T467,E467&gt;45),AND(AX467&lt;-20,U467&gt;T467,E467&lt;55))),AND(AND(A467-AY467&lt;200,A467-AY467&gt;9),OR(AND(A467&gt;75,X467="Final Handicap"),AND(A467&gt;25,X467="1st half Handicap")),OR(AND(BK467&gt;20,U467&lt;T467,E467&gt;45),AND(BK467&lt;-20,U467&gt;T467,E467&lt;55)))),"GOOD","")</f>
        <v/>
      </c>
      <c r="BS467" s="21"/>
    </row>
    <row r="468" spans="1:71" ht="17.25" x14ac:dyDescent="0.3">
      <c r="A468" s="3"/>
      <c r="D468" s="8" t="str">
        <f>IF(ISBLANK(T468),"",CONCATENATE(T468,"-",U468))</f>
        <v/>
      </c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>
        <f>IF(NOT(ISBLANK(G468)),ABS(G468),0)</f>
        <v>0</v>
      </c>
      <c r="BM468">
        <f>IF(NOT(ISBLANK(AK468)),ABS(AK468),0)</f>
        <v>0</v>
      </c>
      <c r="BN468">
        <f>IF(NOT(ISBLANK(AX468)),ABS(AX468),0)</f>
        <v>0</v>
      </c>
      <c r="BO468">
        <f>IF(NOT(ISBLANK(BK468)),ABS(BK468),0)</f>
        <v>0</v>
      </c>
      <c r="BP468">
        <f>IF(ISBLANK(E468),0,ABS(E468-50))</f>
        <v>0</v>
      </c>
      <c r="BQ468" s="21" t="str">
        <f>IF(OR(ISBLANK(V468),ISBLANK(W468)),"",IF(SUM(V468,W468)=0,"",CONCATENATE(V468,"-",W468)))</f>
        <v/>
      </c>
      <c r="BR468" s="21" t="str">
        <f>IF(OR(AND(OR(AND(A468&gt;75,X468="Final Handicap"),AND(A468&gt;25,X468="1st half Handicap")),OR(AND(G468&gt;20,U468&lt;T468,E468&gt;45),AND(G468&lt;-20,U468&gt;T468,E468&lt;55))),AND(AND(A468-Y468&lt;200,A468-Y468&gt;9),OR(AND(A468&gt;75,X468="Final Handicap"),AND(A468&gt;25,X468="1st half Handicap")),OR(AND(AK468&gt;20,U468&lt;T468,E468&gt;45),AND(AK468&lt;-20,U468&gt;T468,E468&lt;55))),AND(AND(A468-AL468&lt;200,A468-AL468&gt;9),OR(AND(A468&gt;75,X468="Final Handicap"),AND(A468&gt;25,X468="1st half Handicap")),OR(AND(AX468&gt;20,U468&lt;T468,E468&gt;45),AND(AX468&lt;-20,U468&gt;T468,E468&lt;55))),AND(AND(A468-AY468&lt;200,A468-AY468&gt;9),OR(AND(A468&gt;75,X468="Final Handicap"),AND(A468&gt;25,X468="1st half Handicap")),OR(AND(BK468&gt;20,U468&lt;T468,E468&gt;45),AND(BK468&lt;-20,U468&gt;T468,E468&lt;55)))),"GOOD","")</f>
        <v/>
      </c>
      <c r="BS468" s="21"/>
    </row>
    <row r="469" spans="1:71" ht="17.25" x14ac:dyDescent="0.3">
      <c r="A469" s="3"/>
      <c r="D469" s="8" t="str">
        <f>IF(ISBLANK(T469),"",CONCATENATE(T469,"-",U469))</f>
        <v/>
      </c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>
        <f>IF(NOT(ISBLANK(G469)),ABS(G469),0)</f>
        <v>0</v>
      </c>
      <c r="BM469">
        <f>IF(NOT(ISBLANK(AK469)),ABS(AK469),0)</f>
        <v>0</v>
      </c>
      <c r="BN469">
        <f>IF(NOT(ISBLANK(AX469)),ABS(AX469),0)</f>
        <v>0</v>
      </c>
      <c r="BO469">
        <f>IF(NOT(ISBLANK(BK469)),ABS(BK469),0)</f>
        <v>0</v>
      </c>
      <c r="BP469">
        <f>IF(ISBLANK(E469),0,ABS(E469-50))</f>
        <v>0</v>
      </c>
      <c r="BQ469" s="21" t="str">
        <f>IF(OR(ISBLANK(V469),ISBLANK(W469)),"",IF(SUM(V469,W469)=0,"",CONCATENATE(V469,"-",W469)))</f>
        <v/>
      </c>
      <c r="BR469" s="21" t="str">
        <f>IF(OR(AND(OR(AND(A469&gt;75,X469="Final Handicap"),AND(A469&gt;25,X469="1st half Handicap")),OR(AND(G469&gt;20,U469&lt;T469,E469&gt;45),AND(G469&lt;-20,U469&gt;T469,E469&lt;55))),AND(AND(A469-Y469&lt;200,A469-Y469&gt;9),OR(AND(A469&gt;75,X469="Final Handicap"),AND(A469&gt;25,X469="1st half Handicap")),OR(AND(AK469&gt;20,U469&lt;T469,E469&gt;45),AND(AK469&lt;-20,U469&gt;T469,E469&lt;55))),AND(AND(A469-AL469&lt;200,A469-AL469&gt;9),OR(AND(A469&gt;75,X469="Final Handicap"),AND(A469&gt;25,X469="1st half Handicap")),OR(AND(AX469&gt;20,U469&lt;T469,E469&gt;45),AND(AX469&lt;-20,U469&gt;T469,E469&lt;55))),AND(AND(A469-AY469&lt;200,A469-AY469&gt;9),OR(AND(A469&gt;75,X469="Final Handicap"),AND(A469&gt;25,X469="1st half Handicap")),OR(AND(BK469&gt;20,U469&lt;T469,E469&gt;45),AND(BK469&lt;-20,U469&gt;T469,E469&lt;55)))),"GOOD","")</f>
        <v/>
      </c>
      <c r="BS469" s="21"/>
    </row>
    <row r="470" spans="1:71" ht="17.25" x14ac:dyDescent="0.3">
      <c r="A470" s="3"/>
      <c r="D470" s="8" t="str">
        <f>IF(ISBLANK(T470),"",CONCATENATE(T470,"-",U470))</f>
        <v/>
      </c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>
        <f>IF(NOT(ISBLANK(G470)),ABS(G470),0)</f>
        <v>0</v>
      </c>
      <c r="BM470">
        <f>IF(NOT(ISBLANK(AK470)),ABS(AK470),0)</f>
        <v>0</v>
      </c>
      <c r="BN470">
        <f>IF(NOT(ISBLANK(AX470)),ABS(AX470),0)</f>
        <v>0</v>
      </c>
      <c r="BO470">
        <f>IF(NOT(ISBLANK(BK470)),ABS(BK470),0)</f>
        <v>0</v>
      </c>
      <c r="BP470">
        <f>IF(ISBLANK(E470),0,ABS(E470-50))</f>
        <v>0</v>
      </c>
      <c r="BQ470" s="21" t="str">
        <f>IF(OR(ISBLANK(V470),ISBLANK(W470)),"",IF(SUM(V470,W470)=0,"",CONCATENATE(V470,"-",W470)))</f>
        <v/>
      </c>
      <c r="BR470" s="21" t="str">
        <f>IF(OR(AND(OR(AND(A470&gt;75,X470="Final Handicap"),AND(A470&gt;25,X470="1st half Handicap")),OR(AND(G470&gt;20,U470&lt;T470,E470&gt;45),AND(G470&lt;-20,U470&gt;T470,E470&lt;55))),AND(AND(A470-Y470&lt;200,A470-Y470&gt;9),OR(AND(A470&gt;75,X470="Final Handicap"),AND(A470&gt;25,X470="1st half Handicap")),OR(AND(AK470&gt;20,U470&lt;T470,E470&gt;45),AND(AK470&lt;-20,U470&gt;T470,E470&lt;55))),AND(AND(A470-AL470&lt;200,A470-AL470&gt;9),OR(AND(A470&gt;75,X470="Final Handicap"),AND(A470&gt;25,X470="1st half Handicap")),OR(AND(AX470&gt;20,U470&lt;T470,E470&gt;45),AND(AX470&lt;-20,U470&gt;T470,E470&lt;55))),AND(AND(A470-AY470&lt;200,A470-AY470&gt;9),OR(AND(A470&gt;75,X470="Final Handicap"),AND(A470&gt;25,X470="1st half Handicap")),OR(AND(BK470&gt;20,U470&lt;T470,E470&gt;45),AND(BK470&lt;-20,U470&gt;T470,E470&lt;55)))),"GOOD","")</f>
        <v/>
      </c>
      <c r="BS470" s="21"/>
    </row>
    <row r="471" spans="1:71" ht="17.25" x14ac:dyDescent="0.3">
      <c r="A471" s="3"/>
      <c r="D471" s="8" t="str">
        <f>IF(ISBLANK(T471),"",CONCATENATE(T471,"-",U471))</f>
        <v/>
      </c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>
        <f>IF(NOT(ISBLANK(G471)),ABS(G471),0)</f>
        <v>0</v>
      </c>
      <c r="BM471">
        <f>IF(NOT(ISBLANK(AK471)),ABS(AK471),0)</f>
        <v>0</v>
      </c>
      <c r="BN471">
        <f>IF(NOT(ISBLANK(AX471)),ABS(AX471),0)</f>
        <v>0</v>
      </c>
      <c r="BO471">
        <f>IF(NOT(ISBLANK(BK471)),ABS(BK471),0)</f>
        <v>0</v>
      </c>
      <c r="BP471">
        <f>IF(ISBLANK(E471),0,ABS(E471-50))</f>
        <v>0</v>
      </c>
      <c r="BQ471" s="21" t="str">
        <f>IF(OR(ISBLANK(V471),ISBLANK(W471)),"",IF(SUM(V471,W471)=0,"",CONCATENATE(V471,"-",W471)))</f>
        <v/>
      </c>
      <c r="BR471" s="21" t="str">
        <f>IF(OR(AND(OR(AND(A471&gt;75,X471="Final Handicap"),AND(A471&gt;25,X471="1st half Handicap")),OR(AND(G471&gt;20,U471&lt;T471,E471&gt;45),AND(G471&lt;-20,U471&gt;T471,E471&lt;55))),AND(AND(A471-Y471&lt;200,A471-Y471&gt;9),OR(AND(A471&gt;75,X471="Final Handicap"),AND(A471&gt;25,X471="1st half Handicap")),OR(AND(AK471&gt;20,U471&lt;T471,E471&gt;45),AND(AK471&lt;-20,U471&gt;T471,E471&lt;55))),AND(AND(A471-AL471&lt;200,A471-AL471&gt;9),OR(AND(A471&gt;75,X471="Final Handicap"),AND(A471&gt;25,X471="1st half Handicap")),OR(AND(AX471&gt;20,U471&lt;T471,E471&gt;45),AND(AX471&lt;-20,U471&gt;T471,E471&lt;55))),AND(AND(A471-AY471&lt;200,A471-AY471&gt;9),OR(AND(A471&gt;75,X471="Final Handicap"),AND(A471&gt;25,X471="1st half Handicap")),OR(AND(BK471&gt;20,U471&lt;T471,E471&gt;45),AND(BK471&lt;-20,U471&gt;T471,E471&lt;55)))),"GOOD","")</f>
        <v/>
      </c>
      <c r="BS471" s="21"/>
    </row>
    <row r="472" spans="1:71" ht="17.25" x14ac:dyDescent="0.3">
      <c r="A472" s="3"/>
      <c r="D472" s="8" t="str">
        <f>IF(ISBLANK(T472),"",CONCATENATE(T472,"-",U472))</f>
        <v/>
      </c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>
        <f>IF(NOT(ISBLANK(G472)),ABS(G472),0)</f>
        <v>0</v>
      </c>
      <c r="BM472">
        <f>IF(NOT(ISBLANK(AK472)),ABS(AK472),0)</f>
        <v>0</v>
      </c>
      <c r="BN472">
        <f>IF(NOT(ISBLANK(AX472)),ABS(AX472),0)</f>
        <v>0</v>
      </c>
      <c r="BO472">
        <f>IF(NOT(ISBLANK(BK472)),ABS(BK472),0)</f>
        <v>0</v>
      </c>
      <c r="BP472">
        <f>IF(ISBLANK(E472),0,ABS(E472-50))</f>
        <v>0</v>
      </c>
      <c r="BQ472" s="21" t="str">
        <f>IF(OR(ISBLANK(V472),ISBLANK(W472)),"",IF(SUM(V472,W472)=0,"",CONCATENATE(V472,"-",W472)))</f>
        <v/>
      </c>
      <c r="BR472" s="21" t="str">
        <f>IF(OR(AND(OR(AND(A472&gt;75,X472="Final Handicap"),AND(A472&gt;25,X472="1st half Handicap")),OR(AND(G472&gt;20,U472&lt;T472,E472&gt;45),AND(G472&lt;-20,U472&gt;T472,E472&lt;55))),AND(AND(A472-Y472&lt;200,A472-Y472&gt;9),OR(AND(A472&gt;75,X472="Final Handicap"),AND(A472&gt;25,X472="1st half Handicap")),OR(AND(AK472&gt;20,U472&lt;T472,E472&gt;45),AND(AK472&lt;-20,U472&gt;T472,E472&lt;55))),AND(AND(A472-AL472&lt;200,A472-AL472&gt;9),OR(AND(A472&gt;75,X472="Final Handicap"),AND(A472&gt;25,X472="1st half Handicap")),OR(AND(AX472&gt;20,U472&lt;T472,E472&gt;45),AND(AX472&lt;-20,U472&gt;T472,E472&lt;55))),AND(AND(A472-AY472&lt;200,A472-AY472&gt;9),OR(AND(A472&gt;75,X472="Final Handicap"),AND(A472&gt;25,X472="1st half Handicap")),OR(AND(BK472&gt;20,U472&lt;T472,E472&gt;45),AND(BK472&lt;-20,U472&gt;T472,E472&lt;55)))),"GOOD","")</f>
        <v/>
      </c>
      <c r="BS472" s="21"/>
    </row>
    <row r="473" spans="1:71" ht="17.25" x14ac:dyDescent="0.3">
      <c r="A473" s="3"/>
      <c r="D473" s="8" t="str">
        <f>IF(ISBLANK(T473),"",CONCATENATE(T473,"-",U473))</f>
        <v/>
      </c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>
        <f>IF(NOT(ISBLANK(G473)),ABS(G473),0)</f>
        <v>0</v>
      </c>
      <c r="BM473">
        <f>IF(NOT(ISBLANK(AK473)),ABS(AK473),0)</f>
        <v>0</v>
      </c>
      <c r="BN473">
        <f>IF(NOT(ISBLANK(AX473)),ABS(AX473),0)</f>
        <v>0</v>
      </c>
      <c r="BO473">
        <f>IF(NOT(ISBLANK(BK473)),ABS(BK473),0)</f>
        <v>0</v>
      </c>
      <c r="BP473">
        <f>IF(ISBLANK(E473),0,ABS(E473-50))</f>
        <v>0</v>
      </c>
      <c r="BQ473" s="21" t="str">
        <f>IF(OR(ISBLANK(V473),ISBLANK(W473)),"",IF(SUM(V473,W473)=0,"",CONCATENATE(V473,"-",W473)))</f>
        <v/>
      </c>
      <c r="BR473" s="21" t="str">
        <f>IF(OR(AND(OR(AND(A473&gt;75,X473="Final Handicap"),AND(A473&gt;25,X473="1st half Handicap")),OR(AND(G473&gt;20,U473&lt;T473,E473&gt;45),AND(G473&lt;-20,U473&gt;T473,E473&lt;55))),AND(AND(A473-Y473&lt;200,A473-Y473&gt;9),OR(AND(A473&gt;75,X473="Final Handicap"),AND(A473&gt;25,X473="1st half Handicap")),OR(AND(AK473&gt;20,U473&lt;T473,E473&gt;45),AND(AK473&lt;-20,U473&gt;T473,E473&lt;55))),AND(AND(A473-AL473&lt;200,A473-AL473&gt;9),OR(AND(A473&gt;75,X473="Final Handicap"),AND(A473&gt;25,X473="1st half Handicap")),OR(AND(AX473&gt;20,U473&lt;T473,E473&gt;45),AND(AX473&lt;-20,U473&gt;T473,E473&lt;55))),AND(AND(A473-AY473&lt;200,A473-AY473&gt;9),OR(AND(A473&gt;75,X473="Final Handicap"),AND(A473&gt;25,X473="1st half Handicap")),OR(AND(BK473&gt;20,U473&lt;T473,E473&gt;45),AND(BK473&lt;-20,U473&gt;T473,E473&lt;55)))),"GOOD","")</f>
        <v/>
      </c>
      <c r="BS473" s="21"/>
    </row>
    <row r="474" spans="1:71" ht="17.25" x14ac:dyDescent="0.3">
      <c r="A474" s="3"/>
      <c r="D474" s="8" t="str">
        <f>IF(ISBLANK(T474),"",CONCATENATE(T474,"-",U474))</f>
        <v/>
      </c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>
        <f>IF(NOT(ISBLANK(G474)),ABS(G474),0)</f>
        <v>0</v>
      </c>
      <c r="BM474">
        <f>IF(NOT(ISBLANK(AK474)),ABS(AK474),0)</f>
        <v>0</v>
      </c>
      <c r="BN474">
        <f>IF(NOT(ISBLANK(AX474)),ABS(AX474),0)</f>
        <v>0</v>
      </c>
      <c r="BO474">
        <f>IF(NOT(ISBLANK(BK474)),ABS(BK474),0)</f>
        <v>0</v>
      </c>
      <c r="BP474">
        <f>IF(ISBLANK(E474),0,ABS(E474-50))</f>
        <v>0</v>
      </c>
      <c r="BQ474" s="21" t="str">
        <f>IF(OR(ISBLANK(V474),ISBLANK(W474)),"",IF(SUM(V474,W474)=0,"",CONCATENATE(V474,"-",W474)))</f>
        <v/>
      </c>
      <c r="BR474" s="21" t="str">
        <f>IF(OR(AND(OR(AND(A474&gt;75,X474="Final Handicap"),AND(A474&gt;25,X474="1st half Handicap")),OR(AND(G474&gt;20,U474&lt;T474,E474&gt;45),AND(G474&lt;-20,U474&gt;T474,E474&lt;55))),AND(AND(A474-Y474&lt;200,A474-Y474&gt;9),OR(AND(A474&gt;75,X474="Final Handicap"),AND(A474&gt;25,X474="1st half Handicap")),OR(AND(AK474&gt;20,U474&lt;T474,E474&gt;45),AND(AK474&lt;-20,U474&gt;T474,E474&lt;55))),AND(AND(A474-AL474&lt;200,A474-AL474&gt;9),OR(AND(A474&gt;75,X474="Final Handicap"),AND(A474&gt;25,X474="1st half Handicap")),OR(AND(AX474&gt;20,U474&lt;T474,E474&gt;45),AND(AX474&lt;-20,U474&gt;T474,E474&lt;55))),AND(AND(A474-AY474&lt;200,A474-AY474&gt;9),OR(AND(A474&gt;75,X474="Final Handicap"),AND(A474&gt;25,X474="1st half Handicap")),OR(AND(BK474&gt;20,U474&lt;T474,E474&gt;45),AND(BK474&lt;-20,U474&gt;T474,E474&lt;55)))),"GOOD","")</f>
        <v/>
      </c>
      <c r="BS474" s="21"/>
    </row>
    <row r="475" spans="1:71" ht="17.25" x14ac:dyDescent="0.3">
      <c r="A475" s="3"/>
      <c r="D475" s="8" t="str">
        <f>IF(ISBLANK(T475),"",CONCATENATE(T475,"-",U475))</f>
        <v/>
      </c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>
        <f>IF(NOT(ISBLANK(G475)),ABS(G475),0)</f>
        <v>0</v>
      </c>
      <c r="BM475">
        <f>IF(NOT(ISBLANK(AK475)),ABS(AK475),0)</f>
        <v>0</v>
      </c>
      <c r="BN475">
        <f>IF(NOT(ISBLANK(AX475)),ABS(AX475),0)</f>
        <v>0</v>
      </c>
      <c r="BO475">
        <f>IF(NOT(ISBLANK(BK475)),ABS(BK475),0)</f>
        <v>0</v>
      </c>
      <c r="BP475">
        <f>IF(ISBLANK(E475),0,ABS(E475-50))</f>
        <v>0</v>
      </c>
      <c r="BQ475" s="21" t="str">
        <f>IF(OR(ISBLANK(V475),ISBLANK(W475)),"",IF(SUM(V475,W475)=0,"",CONCATENATE(V475,"-",W475)))</f>
        <v/>
      </c>
      <c r="BR475" s="21" t="str">
        <f>IF(OR(AND(OR(AND(A475&gt;75,X475="Final Handicap"),AND(A475&gt;25,X475="1st half Handicap")),OR(AND(G475&gt;20,U475&lt;T475,E475&gt;45),AND(G475&lt;-20,U475&gt;T475,E475&lt;55))),AND(AND(A475-Y475&lt;200,A475-Y475&gt;9),OR(AND(A475&gt;75,X475="Final Handicap"),AND(A475&gt;25,X475="1st half Handicap")),OR(AND(AK475&gt;20,U475&lt;T475,E475&gt;45),AND(AK475&lt;-20,U475&gt;T475,E475&lt;55))),AND(AND(A475-AL475&lt;200,A475-AL475&gt;9),OR(AND(A475&gt;75,X475="Final Handicap"),AND(A475&gt;25,X475="1st half Handicap")),OR(AND(AX475&gt;20,U475&lt;T475,E475&gt;45),AND(AX475&lt;-20,U475&gt;T475,E475&lt;55))),AND(AND(A475-AY475&lt;200,A475-AY475&gt;9),OR(AND(A475&gt;75,X475="Final Handicap"),AND(A475&gt;25,X475="1st half Handicap")),OR(AND(BK475&gt;20,U475&lt;T475,E475&gt;45),AND(BK475&lt;-20,U475&gt;T475,E475&lt;55)))),"GOOD","")</f>
        <v/>
      </c>
      <c r="BS475" s="21"/>
    </row>
    <row r="476" spans="1:71" ht="17.25" x14ac:dyDescent="0.3">
      <c r="A476" s="3"/>
      <c r="D476" s="8" t="str">
        <f>IF(ISBLANK(T476),"",CONCATENATE(T476,"-",U476))</f>
        <v/>
      </c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>
        <f>IF(NOT(ISBLANK(G476)),ABS(G476),0)</f>
        <v>0</v>
      </c>
      <c r="BM476">
        <f>IF(NOT(ISBLANK(AK476)),ABS(AK476),0)</f>
        <v>0</v>
      </c>
      <c r="BN476">
        <f>IF(NOT(ISBLANK(AX476)),ABS(AX476),0)</f>
        <v>0</v>
      </c>
      <c r="BO476">
        <f>IF(NOT(ISBLANK(BK476)),ABS(BK476),0)</f>
        <v>0</v>
      </c>
      <c r="BP476">
        <f>IF(ISBLANK(E476),0,ABS(E476-50))</f>
        <v>0</v>
      </c>
      <c r="BQ476" s="21" t="str">
        <f>IF(OR(ISBLANK(V476),ISBLANK(W476)),"",IF(SUM(V476,W476)=0,"",CONCATENATE(V476,"-",W476)))</f>
        <v/>
      </c>
      <c r="BR476" s="21" t="str">
        <f>IF(OR(AND(OR(AND(A476&gt;75,X476="Final Handicap"),AND(A476&gt;25,X476="1st half Handicap")),OR(AND(G476&gt;20,U476&lt;T476,E476&gt;45),AND(G476&lt;-20,U476&gt;T476,E476&lt;55))),AND(AND(A476-Y476&lt;200,A476-Y476&gt;9),OR(AND(A476&gt;75,X476="Final Handicap"),AND(A476&gt;25,X476="1st half Handicap")),OR(AND(AK476&gt;20,U476&lt;T476,E476&gt;45),AND(AK476&lt;-20,U476&gt;T476,E476&lt;55))),AND(AND(A476-AL476&lt;200,A476-AL476&gt;9),OR(AND(A476&gt;75,X476="Final Handicap"),AND(A476&gt;25,X476="1st half Handicap")),OR(AND(AX476&gt;20,U476&lt;T476,E476&gt;45),AND(AX476&lt;-20,U476&gt;T476,E476&lt;55))),AND(AND(A476-AY476&lt;200,A476-AY476&gt;9),OR(AND(A476&gt;75,X476="Final Handicap"),AND(A476&gt;25,X476="1st half Handicap")),OR(AND(BK476&gt;20,U476&lt;T476,E476&gt;45),AND(BK476&lt;-20,U476&gt;T476,E476&lt;55)))),"GOOD","")</f>
        <v/>
      </c>
      <c r="BS476" s="21"/>
    </row>
    <row r="477" spans="1:71" ht="17.25" x14ac:dyDescent="0.3">
      <c r="A477" s="3"/>
      <c r="D477" s="8" t="str">
        <f>IF(ISBLANK(T477),"",CONCATENATE(T477,"-",U477))</f>
        <v/>
      </c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>
        <f>IF(NOT(ISBLANK(G477)),ABS(G477),0)</f>
        <v>0</v>
      </c>
      <c r="BM477">
        <f>IF(NOT(ISBLANK(AK477)),ABS(AK477),0)</f>
        <v>0</v>
      </c>
      <c r="BN477">
        <f>IF(NOT(ISBLANK(AX477)),ABS(AX477),0)</f>
        <v>0</v>
      </c>
      <c r="BO477">
        <f>IF(NOT(ISBLANK(BK477)),ABS(BK477),0)</f>
        <v>0</v>
      </c>
      <c r="BP477">
        <f>IF(ISBLANK(E477),0,ABS(E477-50))</f>
        <v>0</v>
      </c>
      <c r="BQ477" s="21" t="str">
        <f>IF(OR(ISBLANK(V477),ISBLANK(W477)),"",IF(SUM(V477,W477)=0,"",CONCATENATE(V477,"-",W477)))</f>
        <v/>
      </c>
      <c r="BR477" s="21" t="str">
        <f>IF(OR(AND(OR(AND(A477&gt;75,X477="Final Handicap"),AND(A477&gt;25,X477="1st half Handicap")),OR(AND(G477&gt;20,U477&lt;T477,E477&gt;45),AND(G477&lt;-20,U477&gt;T477,E477&lt;55))),AND(AND(A477-Y477&lt;200,A477-Y477&gt;9),OR(AND(A477&gt;75,X477="Final Handicap"),AND(A477&gt;25,X477="1st half Handicap")),OR(AND(AK477&gt;20,U477&lt;T477,E477&gt;45),AND(AK477&lt;-20,U477&gt;T477,E477&lt;55))),AND(AND(A477-AL477&lt;200,A477-AL477&gt;9),OR(AND(A477&gt;75,X477="Final Handicap"),AND(A477&gt;25,X477="1st half Handicap")),OR(AND(AX477&gt;20,U477&lt;T477,E477&gt;45),AND(AX477&lt;-20,U477&gt;T477,E477&lt;55))),AND(AND(A477-AY477&lt;200,A477-AY477&gt;9),OR(AND(A477&gt;75,X477="Final Handicap"),AND(A477&gt;25,X477="1st half Handicap")),OR(AND(BK477&gt;20,U477&lt;T477,E477&gt;45),AND(BK477&lt;-20,U477&gt;T477,E477&lt;55)))),"GOOD","")</f>
        <v/>
      </c>
      <c r="BS477" s="21"/>
    </row>
    <row r="478" spans="1:71" ht="17.25" x14ac:dyDescent="0.3">
      <c r="A478" s="3"/>
      <c r="D478" s="8" t="str">
        <f>IF(ISBLANK(T478),"",CONCATENATE(T478,"-",U478))</f>
        <v/>
      </c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>
        <f>IF(NOT(ISBLANK(G478)),ABS(G478),0)</f>
        <v>0</v>
      </c>
      <c r="BM478">
        <f>IF(NOT(ISBLANK(AK478)),ABS(AK478),0)</f>
        <v>0</v>
      </c>
      <c r="BN478">
        <f>IF(NOT(ISBLANK(AX478)),ABS(AX478),0)</f>
        <v>0</v>
      </c>
      <c r="BO478">
        <f>IF(NOT(ISBLANK(BK478)),ABS(BK478),0)</f>
        <v>0</v>
      </c>
      <c r="BP478">
        <f>IF(ISBLANK(E478),0,ABS(E478-50))</f>
        <v>0</v>
      </c>
      <c r="BQ478" s="21" t="str">
        <f>IF(OR(ISBLANK(V478),ISBLANK(W478)),"",IF(SUM(V478,W478)=0,"",CONCATENATE(V478,"-",W478)))</f>
        <v/>
      </c>
      <c r="BR478" s="21" t="str">
        <f>IF(OR(AND(OR(AND(A478&gt;75,X478="Final Handicap"),AND(A478&gt;25,X478="1st half Handicap")),OR(AND(G478&gt;20,U478&lt;T478,E478&gt;45),AND(G478&lt;-20,U478&gt;T478,E478&lt;55))),AND(AND(A478-Y478&lt;200,A478-Y478&gt;9),OR(AND(A478&gt;75,X478="Final Handicap"),AND(A478&gt;25,X478="1st half Handicap")),OR(AND(AK478&gt;20,U478&lt;T478,E478&gt;45),AND(AK478&lt;-20,U478&gt;T478,E478&lt;55))),AND(AND(A478-AL478&lt;200,A478-AL478&gt;9),OR(AND(A478&gt;75,X478="Final Handicap"),AND(A478&gt;25,X478="1st half Handicap")),OR(AND(AX478&gt;20,U478&lt;T478,E478&gt;45),AND(AX478&lt;-20,U478&gt;T478,E478&lt;55))),AND(AND(A478-AY478&lt;200,A478-AY478&gt;9),OR(AND(A478&gt;75,X478="Final Handicap"),AND(A478&gt;25,X478="1st half Handicap")),OR(AND(BK478&gt;20,U478&lt;T478,E478&gt;45),AND(BK478&lt;-20,U478&gt;T478,E478&lt;55)))),"GOOD","")</f>
        <v/>
      </c>
      <c r="BS478" s="21"/>
    </row>
    <row r="479" spans="1:71" ht="17.25" x14ac:dyDescent="0.3">
      <c r="A479" s="3"/>
      <c r="D479" s="8" t="str">
        <f>IF(ISBLANK(T479),"",CONCATENATE(T479,"-",U479))</f>
        <v/>
      </c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>
        <f>IF(NOT(ISBLANK(G479)),ABS(G479),0)</f>
        <v>0</v>
      </c>
      <c r="BM479">
        <f>IF(NOT(ISBLANK(AK479)),ABS(AK479),0)</f>
        <v>0</v>
      </c>
      <c r="BN479">
        <f>IF(NOT(ISBLANK(AX479)),ABS(AX479),0)</f>
        <v>0</v>
      </c>
      <c r="BO479">
        <f>IF(NOT(ISBLANK(BK479)),ABS(BK479),0)</f>
        <v>0</v>
      </c>
      <c r="BP479">
        <f>IF(ISBLANK(E479),0,ABS(E479-50))</f>
        <v>0</v>
      </c>
      <c r="BQ479" s="21" t="str">
        <f>IF(OR(ISBLANK(V479),ISBLANK(W479)),"",IF(SUM(V479,W479)=0,"",CONCATENATE(V479,"-",W479)))</f>
        <v/>
      </c>
      <c r="BR479" s="21" t="str">
        <f>IF(OR(AND(OR(AND(A479&gt;75,X479="Final Handicap"),AND(A479&gt;25,X479="1st half Handicap")),OR(AND(G479&gt;20,U479&lt;T479,E479&gt;45),AND(G479&lt;-20,U479&gt;T479,E479&lt;55))),AND(AND(A479-Y479&lt;200,A479-Y479&gt;9),OR(AND(A479&gt;75,X479="Final Handicap"),AND(A479&gt;25,X479="1st half Handicap")),OR(AND(AK479&gt;20,U479&lt;T479,E479&gt;45),AND(AK479&lt;-20,U479&gt;T479,E479&lt;55))),AND(AND(A479-AL479&lt;200,A479-AL479&gt;9),OR(AND(A479&gt;75,X479="Final Handicap"),AND(A479&gt;25,X479="1st half Handicap")),OR(AND(AX479&gt;20,U479&lt;T479,E479&gt;45),AND(AX479&lt;-20,U479&gt;T479,E479&lt;55))),AND(AND(A479-AY479&lt;200,A479-AY479&gt;9),OR(AND(A479&gt;75,X479="Final Handicap"),AND(A479&gt;25,X479="1st half Handicap")),OR(AND(BK479&gt;20,U479&lt;T479,E479&gt;45),AND(BK479&lt;-20,U479&gt;T479,E479&lt;55)))),"GOOD","")</f>
        <v/>
      </c>
      <c r="BS479" s="21"/>
    </row>
    <row r="480" spans="1:71" ht="17.25" x14ac:dyDescent="0.3">
      <c r="A480" s="3"/>
      <c r="D480" s="8" t="str">
        <f>IF(ISBLANK(T480),"",CONCATENATE(T480,"-",U480))</f>
        <v/>
      </c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>
        <f>IF(NOT(ISBLANK(G480)),ABS(G480),0)</f>
        <v>0</v>
      </c>
      <c r="BM480">
        <f>IF(NOT(ISBLANK(AK480)),ABS(AK480),0)</f>
        <v>0</v>
      </c>
      <c r="BN480">
        <f>IF(NOT(ISBLANK(AX480)),ABS(AX480),0)</f>
        <v>0</v>
      </c>
      <c r="BO480">
        <f>IF(NOT(ISBLANK(BK480)),ABS(BK480),0)</f>
        <v>0</v>
      </c>
      <c r="BP480">
        <f>IF(ISBLANK(E480),0,ABS(E480-50))</f>
        <v>0</v>
      </c>
      <c r="BQ480" s="21" t="str">
        <f>IF(OR(ISBLANK(V480),ISBLANK(W480)),"",IF(SUM(V480,W480)=0,"",CONCATENATE(V480,"-",W480)))</f>
        <v/>
      </c>
      <c r="BR480" s="21" t="str">
        <f>IF(OR(AND(OR(AND(A480&gt;75,X480="Final Handicap"),AND(A480&gt;25,X480="1st half Handicap")),OR(AND(G480&gt;20,U480&lt;T480,E480&gt;45),AND(G480&lt;-20,U480&gt;T480,E480&lt;55))),AND(AND(A480-Y480&lt;200,A480-Y480&gt;9),OR(AND(A480&gt;75,X480="Final Handicap"),AND(A480&gt;25,X480="1st half Handicap")),OR(AND(AK480&gt;20,U480&lt;T480,E480&gt;45),AND(AK480&lt;-20,U480&gt;T480,E480&lt;55))),AND(AND(A480-AL480&lt;200,A480-AL480&gt;9),OR(AND(A480&gt;75,X480="Final Handicap"),AND(A480&gt;25,X480="1st half Handicap")),OR(AND(AX480&gt;20,U480&lt;T480,E480&gt;45),AND(AX480&lt;-20,U480&gt;T480,E480&lt;55))),AND(AND(A480-AY480&lt;200,A480-AY480&gt;9),OR(AND(A480&gt;75,X480="Final Handicap"),AND(A480&gt;25,X480="1st half Handicap")),OR(AND(BK480&gt;20,U480&lt;T480,E480&gt;45),AND(BK480&lt;-20,U480&gt;T480,E480&lt;55)))),"GOOD","")</f>
        <v/>
      </c>
      <c r="BS480" s="21"/>
    </row>
    <row r="481" spans="1:71" ht="17.25" x14ac:dyDescent="0.3">
      <c r="A481" s="3"/>
      <c r="D481" s="8" t="str">
        <f>IF(ISBLANK(T481),"",CONCATENATE(T481,"-",U481))</f>
        <v/>
      </c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>
        <f>IF(NOT(ISBLANK(G481)),ABS(G481),0)</f>
        <v>0</v>
      </c>
      <c r="BM481">
        <f>IF(NOT(ISBLANK(AK481)),ABS(AK481),0)</f>
        <v>0</v>
      </c>
      <c r="BN481">
        <f>IF(NOT(ISBLANK(AX481)),ABS(AX481),0)</f>
        <v>0</v>
      </c>
      <c r="BO481">
        <f>IF(NOT(ISBLANK(BK481)),ABS(BK481),0)</f>
        <v>0</v>
      </c>
      <c r="BP481">
        <f>IF(ISBLANK(E481),0,ABS(E481-50))</f>
        <v>0</v>
      </c>
      <c r="BQ481" s="21" t="str">
        <f>IF(OR(ISBLANK(V481),ISBLANK(W481)),"",IF(SUM(V481,W481)=0,"",CONCATENATE(V481,"-",W481)))</f>
        <v/>
      </c>
      <c r="BR481" s="21" t="str">
        <f>IF(OR(AND(OR(AND(A481&gt;75,X481="Final Handicap"),AND(A481&gt;25,X481="1st half Handicap")),OR(AND(G481&gt;20,U481&lt;T481,E481&gt;45),AND(G481&lt;-20,U481&gt;T481,E481&lt;55))),AND(AND(A481-Y481&lt;200,A481-Y481&gt;9),OR(AND(A481&gt;75,X481="Final Handicap"),AND(A481&gt;25,X481="1st half Handicap")),OR(AND(AK481&gt;20,U481&lt;T481,E481&gt;45),AND(AK481&lt;-20,U481&gt;T481,E481&lt;55))),AND(AND(A481-AL481&lt;200,A481-AL481&gt;9),OR(AND(A481&gt;75,X481="Final Handicap"),AND(A481&gt;25,X481="1st half Handicap")),OR(AND(AX481&gt;20,U481&lt;T481,E481&gt;45),AND(AX481&lt;-20,U481&gt;T481,E481&lt;55))),AND(AND(A481-AY481&lt;200,A481-AY481&gt;9),OR(AND(A481&gt;75,X481="Final Handicap"),AND(A481&gt;25,X481="1st half Handicap")),OR(AND(BK481&gt;20,U481&lt;T481,E481&gt;45),AND(BK481&lt;-20,U481&gt;T481,E481&lt;55)))),"GOOD","")</f>
        <v/>
      </c>
      <c r="BS481" s="21"/>
    </row>
    <row r="482" spans="1:71" ht="17.25" x14ac:dyDescent="0.3">
      <c r="A482" s="3"/>
      <c r="D482" s="8" t="str">
        <f>IF(ISBLANK(T482),"",CONCATENATE(T482,"-",U482))</f>
        <v/>
      </c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>
        <f>IF(NOT(ISBLANK(G482)),ABS(G482),0)</f>
        <v>0</v>
      </c>
      <c r="BM482">
        <f>IF(NOT(ISBLANK(AK482)),ABS(AK482),0)</f>
        <v>0</v>
      </c>
      <c r="BN482">
        <f>IF(NOT(ISBLANK(AX482)),ABS(AX482),0)</f>
        <v>0</v>
      </c>
      <c r="BO482">
        <f>IF(NOT(ISBLANK(BK482)),ABS(BK482),0)</f>
        <v>0</v>
      </c>
      <c r="BP482">
        <f>IF(ISBLANK(E482),0,ABS(E482-50))</f>
        <v>0</v>
      </c>
      <c r="BQ482" s="21" t="str">
        <f>IF(OR(ISBLANK(V482),ISBLANK(W482)),"",IF(SUM(V482,W482)=0,"",CONCATENATE(V482,"-",W482)))</f>
        <v/>
      </c>
      <c r="BR482" s="21" t="str">
        <f>IF(OR(AND(OR(AND(A482&gt;75,X482="Final Handicap"),AND(A482&gt;25,X482="1st half Handicap")),OR(AND(G482&gt;20,U482&lt;T482,E482&gt;45),AND(G482&lt;-20,U482&gt;T482,E482&lt;55))),AND(AND(A482-Y482&lt;200,A482-Y482&gt;9),OR(AND(A482&gt;75,X482="Final Handicap"),AND(A482&gt;25,X482="1st half Handicap")),OR(AND(AK482&gt;20,U482&lt;T482,E482&gt;45),AND(AK482&lt;-20,U482&gt;T482,E482&lt;55))),AND(AND(A482-AL482&lt;200,A482-AL482&gt;9),OR(AND(A482&gt;75,X482="Final Handicap"),AND(A482&gt;25,X482="1st half Handicap")),OR(AND(AX482&gt;20,U482&lt;T482,E482&gt;45),AND(AX482&lt;-20,U482&gt;T482,E482&lt;55))),AND(AND(A482-AY482&lt;200,A482-AY482&gt;9),OR(AND(A482&gt;75,X482="Final Handicap"),AND(A482&gt;25,X482="1st half Handicap")),OR(AND(BK482&gt;20,U482&lt;T482,E482&gt;45),AND(BK482&lt;-20,U482&gt;T482,E482&lt;55)))),"GOOD","")</f>
        <v/>
      </c>
      <c r="BS482" s="21"/>
    </row>
    <row r="483" spans="1:71" ht="17.25" x14ac:dyDescent="0.3">
      <c r="A483" s="3"/>
      <c r="D483" s="8" t="str">
        <f>IF(ISBLANK(T483),"",CONCATENATE(T483,"-",U483))</f>
        <v/>
      </c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>
        <f>IF(NOT(ISBLANK(G483)),ABS(G483),0)</f>
        <v>0</v>
      </c>
      <c r="BM483">
        <f>IF(NOT(ISBLANK(AK483)),ABS(AK483),0)</f>
        <v>0</v>
      </c>
      <c r="BN483">
        <f>IF(NOT(ISBLANK(AX483)),ABS(AX483),0)</f>
        <v>0</v>
      </c>
      <c r="BO483">
        <f>IF(NOT(ISBLANK(BK483)),ABS(BK483),0)</f>
        <v>0</v>
      </c>
      <c r="BP483">
        <f>IF(ISBLANK(E483),0,ABS(E483-50))</f>
        <v>0</v>
      </c>
      <c r="BQ483" s="21" t="str">
        <f>IF(OR(ISBLANK(V483),ISBLANK(W483)),"",IF(SUM(V483,W483)=0,"",CONCATENATE(V483,"-",W483)))</f>
        <v/>
      </c>
      <c r="BR483" s="21" t="str">
        <f>IF(OR(AND(OR(AND(A483&gt;75,X483="Final Handicap"),AND(A483&gt;25,X483="1st half Handicap")),OR(AND(G483&gt;20,U483&lt;T483,E483&gt;45),AND(G483&lt;-20,U483&gt;T483,E483&lt;55))),AND(AND(A483-Y483&lt;200,A483-Y483&gt;9),OR(AND(A483&gt;75,X483="Final Handicap"),AND(A483&gt;25,X483="1st half Handicap")),OR(AND(AK483&gt;20,U483&lt;T483,E483&gt;45),AND(AK483&lt;-20,U483&gt;T483,E483&lt;55))),AND(AND(A483-AL483&lt;200,A483-AL483&gt;9),OR(AND(A483&gt;75,X483="Final Handicap"),AND(A483&gt;25,X483="1st half Handicap")),OR(AND(AX483&gt;20,U483&lt;T483,E483&gt;45),AND(AX483&lt;-20,U483&gt;T483,E483&lt;55))),AND(AND(A483-AY483&lt;200,A483-AY483&gt;9),OR(AND(A483&gt;75,X483="Final Handicap"),AND(A483&gt;25,X483="1st half Handicap")),OR(AND(BK483&gt;20,U483&lt;T483,E483&gt;45),AND(BK483&lt;-20,U483&gt;T483,E483&lt;55)))),"GOOD","")</f>
        <v/>
      </c>
      <c r="BS483" s="21"/>
    </row>
    <row r="484" spans="1:71" ht="17.25" x14ac:dyDescent="0.3">
      <c r="A484" s="3"/>
      <c r="D484" s="8" t="str">
        <f>IF(ISBLANK(T484),"",CONCATENATE(T484,"-",U484))</f>
        <v/>
      </c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>
        <f>IF(NOT(ISBLANK(G484)),ABS(G484),0)</f>
        <v>0</v>
      </c>
      <c r="BM484">
        <f>IF(NOT(ISBLANK(AK484)),ABS(AK484),0)</f>
        <v>0</v>
      </c>
      <c r="BN484">
        <f>IF(NOT(ISBLANK(AX484)),ABS(AX484),0)</f>
        <v>0</v>
      </c>
      <c r="BO484">
        <f>IF(NOT(ISBLANK(BK484)),ABS(BK484),0)</f>
        <v>0</v>
      </c>
      <c r="BP484">
        <f>IF(ISBLANK(E484),0,ABS(E484-50))</f>
        <v>0</v>
      </c>
      <c r="BQ484" s="21" t="str">
        <f>IF(OR(ISBLANK(V484),ISBLANK(W484)),"",IF(SUM(V484,W484)=0,"",CONCATENATE(V484,"-",W484)))</f>
        <v/>
      </c>
      <c r="BR484" s="21" t="str">
        <f>IF(OR(AND(OR(AND(A484&gt;75,X484="Final Handicap"),AND(A484&gt;25,X484="1st half Handicap")),OR(AND(G484&gt;20,U484&lt;T484,E484&gt;45),AND(G484&lt;-20,U484&gt;T484,E484&lt;55))),AND(AND(A484-Y484&lt;200,A484-Y484&gt;9),OR(AND(A484&gt;75,X484="Final Handicap"),AND(A484&gt;25,X484="1st half Handicap")),OR(AND(AK484&gt;20,U484&lt;T484,E484&gt;45),AND(AK484&lt;-20,U484&gt;T484,E484&lt;55))),AND(AND(A484-AL484&lt;200,A484-AL484&gt;9),OR(AND(A484&gt;75,X484="Final Handicap"),AND(A484&gt;25,X484="1st half Handicap")),OR(AND(AX484&gt;20,U484&lt;T484,E484&gt;45),AND(AX484&lt;-20,U484&gt;T484,E484&lt;55))),AND(AND(A484-AY484&lt;200,A484-AY484&gt;9),OR(AND(A484&gt;75,X484="Final Handicap"),AND(A484&gt;25,X484="1st half Handicap")),OR(AND(BK484&gt;20,U484&lt;T484,E484&gt;45),AND(BK484&lt;-20,U484&gt;T484,E484&lt;55)))),"GOOD","")</f>
        <v/>
      </c>
      <c r="BS484" s="21"/>
    </row>
    <row r="485" spans="1:71" ht="17.25" x14ac:dyDescent="0.3">
      <c r="A485" s="3"/>
      <c r="D485" s="8" t="str">
        <f>IF(ISBLANK(T485),"",CONCATENATE(T485,"-",U485))</f>
        <v/>
      </c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>
        <f>IF(NOT(ISBLANK(G485)),ABS(G485),0)</f>
        <v>0</v>
      </c>
      <c r="BM485">
        <f>IF(NOT(ISBLANK(AK485)),ABS(AK485),0)</f>
        <v>0</v>
      </c>
      <c r="BN485">
        <f>IF(NOT(ISBLANK(AX485)),ABS(AX485),0)</f>
        <v>0</v>
      </c>
      <c r="BO485">
        <f>IF(NOT(ISBLANK(BK485)),ABS(BK485),0)</f>
        <v>0</v>
      </c>
      <c r="BP485">
        <f>IF(ISBLANK(E485),0,ABS(E485-50))</f>
        <v>0</v>
      </c>
      <c r="BQ485" s="21" t="str">
        <f>IF(OR(ISBLANK(V485),ISBLANK(W485)),"",IF(SUM(V485,W485)=0,"",CONCATENATE(V485,"-",W485)))</f>
        <v/>
      </c>
      <c r="BR485" s="21" t="str">
        <f>IF(OR(AND(OR(AND(A485&gt;75,X485="Final Handicap"),AND(A485&gt;25,X485="1st half Handicap")),OR(AND(G485&gt;20,U485&lt;T485,E485&gt;45),AND(G485&lt;-20,U485&gt;T485,E485&lt;55))),AND(AND(A485-Y485&lt;200,A485-Y485&gt;9),OR(AND(A485&gt;75,X485="Final Handicap"),AND(A485&gt;25,X485="1st half Handicap")),OR(AND(AK485&gt;20,U485&lt;T485,E485&gt;45),AND(AK485&lt;-20,U485&gt;T485,E485&lt;55))),AND(AND(A485-AL485&lt;200,A485-AL485&gt;9),OR(AND(A485&gt;75,X485="Final Handicap"),AND(A485&gt;25,X485="1st half Handicap")),OR(AND(AX485&gt;20,U485&lt;T485,E485&gt;45),AND(AX485&lt;-20,U485&gt;T485,E485&lt;55))),AND(AND(A485-AY485&lt;200,A485-AY485&gt;9),OR(AND(A485&gt;75,X485="Final Handicap"),AND(A485&gt;25,X485="1st half Handicap")),OR(AND(BK485&gt;20,U485&lt;T485,E485&gt;45),AND(BK485&lt;-20,U485&gt;T485,E485&lt;55)))),"GOOD","")</f>
        <v/>
      </c>
      <c r="BS485" s="21"/>
    </row>
    <row r="486" spans="1:71" ht="17.25" x14ac:dyDescent="0.3">
      <c r="A486" s="3"/>
      <c r="D486" s="8" t="str">
        <f>IF(ISBLANK(T486),"",CONCATENATE(T486,"-",U486))</f>
        <v/>
      </c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>
        <f>IF(NOT(ISBLANK(G486)),ABS(G486),0)</f>
        <v>0</v>
      </c>
      <c r="BM486">
        <f>IF(NOT(ISBLANK(AK486)),ABS(AK486),0)</f>
        <v>0</v>
      </c>
      <c r="BN486">
        <f>IF(NOT(ISBLANK(AX486)),ABS(AX486),0)</f>
        <v>0</v>
      </c>
      <c r="BO486">
        <f>IF(NOT(ISBLANK(BK486)),ABS(BK486),0)</f>
        <v>0</v>
      </c>
      <c r="BP486">
        <f>IF(ISBLANK(E486),0,ABS(E486-50))</f>
        <v>0</v>
      </c>
      <c r="BQ486" s="21" t="str">
        <f>IF(OR(ISBLANK(V486),ISBLANK(W486)),"",IF(SUM(V486,W486)=0,"",CONCATENATE(V486,"-",W486)))</f>
        <v/>
      </c>
      <c r="BR486" s="21" t="str">
        <f>IF(OR(AND(OR(AND(A486&gt;75,X486="Final Handicap"),AND(A486&gt;25,X486="1st half Handicap")),OR(AND(G486&gt;20,U486&lt;T486,E486&gt;45),AND(G486&lt;-20,U486&gt;T486,E486&lt;55))),AND(AND(A486-Y486&lt;200,A486-Y486&gt;9),OR(AND(A486&gt;75,X486="Final Handicap"),AND(A486&gt;25,X486="1st half Handicap")),OR(AND(AK486&gt;20,U486&lt;T486,E486&gt;45),AND(AK486&lt;-20,U486&gt;T486,E486&lt;55))),AND(AND(A486-AL486&lt;200,A486-AL486&gt;9),OR(AND(A486&gt;75,X486="Final Handicap"),AND(A486&gt;25,X486="1st half Handicap")),OR(AND(AX486&gt;20,U486&lt;T486,E486&gt;45),AND(AX486&lt;-20,U486&gt;T486,E486&lt;55))),AND(AND(A486-AY486&lt;200,A486-AY486&gt;9),OR(AND(A486&gt;75,X486="Final Handicap"),AND(A486&gt;25,X486="1st half Handicap")),OR(AND(BK486&gt;20,U486&lt;T486,E486&gt;45),AND(BK486&lt;-20,U486&gt;T486,E486&lt;55)))),"GOOD","")</f>
        <v/>
      </c>
      <c r="BS486" s="21"/>
    </row>
    <row r="487" spans="1:71" ht="17.25" x14ac:dyDescent="0.3">
      <c r="A487" s="3"/>
      <c r="D487" s="8" t="str">
        <f>IF(ISBLANK(T487),"",CONCATENATE(T487,"-",U487))</f>
        <v/>
      </c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>
        <f>IF(NOT(ISBLANK(G487)),ABS(G487),0)</f>
        <v>0</v>
      </c>
      <c r="BM487">
        <f>IF(NOT(ISBLANK(AK487)),ABS(AK487),0)</f>
        <v>0</v>
      </c>
      <c r="BN487">
        <f>IF(NOT(ISBLANK(AX487)),ABS(AX487),0)</f>
        <v>0</v>
      </c>
      <c r="BO487">
        <f>IF(NOT(ISBLANK(BK487)),ABS(BK487),0)</f>
        <v>0</v>
      </c>
      <c r="BP487">
        <f>IF(ISBLANK(E487),0,ABS(E487-50))</f>
        <v>0</v>
      </c>
      <c r="BQ487" s="21" t="str">
        <f>IF(OR(ISBLANK(V487),ISBLANK(W487)),"",IF(SUM(V487,W487)=0,"",CONCATENATE(V487,"-",W487)))</f>
        <v/>
      </c>
      <c r="BR487" s="21" t="str">
        <f>IF(OR(AND(OR(AND(A487&gt;75,X487="Final Handicap"),AND(A487&gt;25,X487="1st half Handicap")),OR(AND(G487&gt;20,U487&lt;T487,E487&gt;45),AND(G487&lt;-20,U487&gt;T487,E487&lt;55))),AND(AND(A487-Y487&lt;200,A487-Y487&gt;9),OR(AND(A487&gt;75,X487="Final Handicap"),AND(A487&gt;25,X487="1st half Handicap")),OR(AND(AK487&gt;20,U487&lt;T487,E487&gt;45),AND(AK487&lt;-20,U487&gt;T487,E487&lt;55))),AND(AND(A487-AL487&lt;200,A487-AL487&gt;9),OR(AND(A487&gt;75,X487="Final Handicap"),AND(A487&gt;25,X487="1st half Handicap")),OR(AND(AX487&gt;20,U487&lt;T487,E487&gt;45),AND(AX487&lt;-20,U487&gt;T487,E487&lt;55))),AND(AND(A487-AY487&lt;200,A487-AY487&gt;9),OR(AND(A487&gt;75,X487="Final Handicap"),AND(A487&gt;25,X487="1st half Handicap")),OR(AND(BK487&gt;20,U487&lt;T487,E487&gt;45),AND(BK487&lt;-20,U487&gt;T487,E487&lt;55)))),"GOOD","")</f>
        <v/>
      </c>
      <c r="BS487" s="21"/>
    </row>
    <row r="488" spans="1:71" ht="17.25" x14ac:dyDescent="0.3">
      <c r="A488" s="3"/>
      <c r="D488" s="8" t="str">
        <f>IF(ISBLANK(T488),"",CONCATENATE(T488,"-",U488))</f>
        <v/>
      </c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>
        <f>IF(NOT(ISBLANK(G488)),ABS(G488),0)</f>
        <v>0</v>
      </c>
      <c r="BM488">
        <f>IF(NOT(ISBLANK(AK488)),ABS(AK488),0)</f>
        <v>0</v>
      </c>
      <c r="BN488">
        <f>IF(NOT(ISBLANK(AX488)),ABS(AX488),0)</f>
        <v>0</v>
      </c>
      <c r="BO488">
        <f>IF(NOT(ISBLANK(BK488)),ABS(BK488),0)</f>
        <v>0</v>
      </c>
      <c r="BP488">
        <f>IF(ISBLANK(E488),0,ABS(E488-50))</f>
        <v>0</v>
      </c>
      <c r="BQ488" s="21" t="str">
        <f>IF(OR(ISBLANK(V488),ISBLANK(W488)),"",IF(SUM(V488,W488)=0,"",CONCATENATE(V488,"-",W488)))</f>
        <v/>
      </c>
      <c r="BR488" s="21" t="str">
        <f>IF(OR(AND(OR(AND(A488&gt;75,X488="Final Handicap"),AND(A488&gt;25,X488="1st half Handicap")),OR(AND(G488&gt;20,U488&lt;T488,E488&gt;45),AND(G488&lt;-20,U488&gt;T488,E488&lt;55))),AND(AND(A488-Y488&lt;200,A488-Y488&gt;9),OR(AND(A488&gt;75,X488="Final Handicap"),AND(A488&gt;25,X488="1st half Handicap")),OR(AND(AK488&gt;20,U488&lt;T488,E488&gt;45),AND(AK488&lt;-20,U488&gt;T488,E488&lt;55))),AND(AND(A488-AL488&lt;200,A488-AL488&gt;9),OR(AND(A488&gt;75,X488="Final Handicap"),AND(A488&gt;25,X488="1st half Handicap")),OR(AND(AX488&gt;20,U488&lt;T488,E488&gt;45),AND(AX488&lt;-20,U488&gt;T488,E488&lt;55))),AND(AND(A488-AY488&lt;200,A488-AY488&gt;9),OR(AND(A488&gt;75,X488="Final Handicap"),AND(A488&gt;25,X488="1st half Handicap")),OR(AND(BK488&gt;20,U488&lt;T488,E488&gt;45),AND(BK488&lt;-20,U488&gt;T488,E488&lt;55)))),"GOOD","")</f>
        <v/>
      </c>
      <c r="BS488" s="21"/>
    </row>
    <row r="489" spans="1:71" ht="17.25" x14ac:dyDescent="0.3">
      <c r="A489" s="3"/>
      <c r="D489" s="8" t="str">
        <f>IF(ISBLANK(T489),"",CONCATENATE(T489,"-",U489))</f>
        <v/>
      </c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>
        <f>IF(NOT(ISBLANK(G489)),ABS(G489),0)</f>
        <v>0</v>
      </c>
      <c r="BM489">
        <f>IF(NOT(ISBLANK(AK489)),ABS(AK489),0)</f>
        <v>0</v>
      </c>
      <c r="BN489">
        <f>IF(NOT(ISBLANK(AX489)),ABS(AX489),0)</f>
        <v>0</v>
      </c>
      <c r="BO489">
        <f>IF(NOT(ISBLANK(BK489)),ABS(BK489),0)</f>
        <v>0</v>
      </c>
      <c r="BP489">
        <f>IF(ISBLANK(E489),0,ABS(E489-50))</f>
        <v>0</v>
      </c>
      <c r="BQ489" s="21" t="str">
        <f>IF(OR(ISBLANK(V489),ISBLANK(W489)),"",IF(SUM(V489,W489)=0,"",CONCATENATE(V489,"-",W489)))</f>
        <v/>
      </c>
      <c r="BR489" s="21" t="str">
        <f>IF(OR(AND(OR(AND(A489&gt;75,X489="Final Handicap"),AND(A489&gt;25,X489="1st half Handicap")),OR(AND(G489&gt;20,U489&lt;T489,E489&gt;45),AND(G489&lt;-20,U489&gt;T489,E489&lt;55))),AND(AND(A489-Y489&lt;200,A489-Y489&gt;9),OR(AND(A489&gt;75,X489="Final Handicap"),AND(A489&gt;25,X489="1st half Handicap")),OR(AND(AK489&gt;20,U489&lt;T489,E489&gt;45),AND(AK489&lt;-20,U489&gt;T489,E489&lt;55))),AND(AND(A489-AL489&lt;200,A489-AL489&gt;9),OR(AND(A489&gt;75,X489="Final Handicap"),AND(A489&gt;25,X489="1st half Handicap")),OR(AND(AX489&gt;20,U489&lt;T489,E489&gt;45),AND(AX489&lt;-20,U489&gt;T489,E489&lt;55))),AND(AND(A489-AY489&lt;200,A489-AY489&gt;9),OR(AND(A489&gt;75,X489="Final Handicap"),AND(A489&gt;25,X489="1st half Handicap")),OR(AND(BK489&gt;20,U489&lt;T489,E489&gt;45),AND(BK489&lt;-20,U489&gt;T489,E489&lt;55)))),"GOOD","")</f>
        <v/>
      </c>
      <c r="BS489" s="21"/>
    </row>
    <row r="490" spans="1:71" ht="17.25" x14ac:dyDescent="0.3">
      <c r="A490" s="3"/>
      <c r="D490" s="8" t="str">
        <f>IF(ISBLANK(T490),"",CONCATENATE(T490,"-",U490))</f>
        <v/>
      </c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>
        <f>IF(NOT(ISBLANK(G490)),ABS(G490),0)</f>
        <v>0</v>
      </c>
      <c r="BM490">
        <f>IF(NOT(ISBLANK(AK490)),ABS(AK490),0)</f>
        <v>0</v>
      </c>
      <c r="BN490">
        <f>IF(NOT(ISBLANK(AX490)),ABS(AX490),0)</f>
        <v>0</v>
      </c>
      <c r="BO490">
        <f>IF(NOT(ISBLANK(BK490)),ABS(BK490),0)</f>
        <v>0</v>
      </c>
      <c r="BP490">
        <f>IF(ISBLANK(E490),0,ABS(E490-50))</f>
        <v>0</v>
      </c>
      <c r="BQ490" s="21" t="str">
        <f>IF(OR(ISBLANK(V490),ISBLANK(W490)),"",IF(SUM(V490,W490)=0,"",CONCATENATE(V490,"-",W490)))</f>
        <v/>
      </c>
      <c r="BR490" s="21" t="str">
        <f>IF(OR(AND(OR(AND(A490&gt;75,X490="Final Handicap"),AND(A490&gt;25,X490="1st half Handicap")),OR(AND(G490&gt;20,U490&lt;T490,E490&gt;45),AND(G490&lt;-20,U490&gt;T490,E490&lt;55))),AND(AND(A490-Y490&lt;200,A490-Y490&gt;9),OR(AND(A490&gt;75,X490="Final Handicap"),AND(A490&gt;25,X490="1st half Handicap")),OR(AND(AK490&gt;20,U490&lt;T490,E490&gt;45),AND(AK490&lt;-20,U490&gt;T490,E490&lt;55))),AND(AND(A490-AL490&lt;200,A490-AL490&gt;9),OR(AND(A490&gt;75,X490="Final Handicap"),AND(A490&gt;25,X490="1st half Handicap")),OR(AND(AX490&gt;20,U490&lt;T490,E490&gt;45),AND(AX490&lt;-20,U490&gt;T490,E490&lt;55))),AND(AND(A490-AY490&lt;200,A490-AY490&gt;9),OR(AND(A490&gt;75,X490="Final Handicap"),AND(A490&gt;25,X490="1st half Handicap")),OR(AND(BK490&gt;20,U490&lt;T490,E490&gt;45),AND(BK490&lt;-20,U490&gt;T490,E490&lt;55)))),"GOOD","")</f>
        <v/>
      </c>
      <c r="BS490" s="21"/>
    </row>
    <row r="491" spans="1:71" ht="17.25" x14ac:dyDescent="0.3">
      <c r="A491" s="3"/>
      <c r="D491" s="8" t="str">
        <f>IF(ISBLANK(T491),"",CONCATENATE(T491,"-",U491))</f>
        <v/>
      </c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>
        <f>IF(NOT(ISBLANK(G491)),ABS(G491),0)</f>
        <v>0</v>
      </c>
      <c r="BM491">
        <f>IF(NOT(ISBLANK(AK491)),ABS(AK491),0)</f>
        <v>0</v>
      </c>
      <c r="BN491">
        <f>IF(NOT(ISBLANK(AX491)),ABS(AX491),0)</f>
        <v>0</v>
      </c>
      <c r="BO491">
        <f>IF(NOT(ISBLANK(BK491)),ABS(BK491),0)</f>
        <v>0</v>
      </c>
      <c r="BP491">
        <f>IF(ISBLANK(E491),0,ABS(E491-50))</f>
        <v>0</v>
      </c>
      <c r="BQ491" s="21" t="str">
        <f>IF(OR(ISBLANK(V491),ISBLANK(W491)),"",IF(SUM(V491,W491)=0,"",CONCATENATE(V491,"-",W491)))</f>
        <v/>
      </c>
      <c r="BR491" s="21" t="str">
        <f>IF(OR(AND(OR(AND(A491&gt;75,X491="Final Handicap"),AND(A491&gt;25,X491="1st half Handicap")),OR(AND(G491&gt;20,U491&lt;T491,E491&gt;45),AND(G491&lt;-20,U491&gt;T491,E491&lt;55))),AND(AND(A491-Y491&lt;200,A491-Y491&gt;9),OR(AND(A491&gt;75,X491="Final Handicap"),AND(A491&gt;25,X491="1st half Handicap")),OR(AND(AK491&gt;20,U491&lt;T491,E491&gt;45),AND(AK491&lt;-20,U491&gt;T491,E491&lt;55))),AND(AND(A491-AL491&lt;200,A491-AL491&gt;9),OR(AND(A491&gt;75,X491="Final Handicap"),AND(A491&gt;25,X491="1st half Handicap")),OR(AND(AX491&gt;20,U491&lt;T491,E491&gt;45),AND(AX491&lt;-20,U491&gt;T491,E491&lt;55))),AND(AND(A491-AY491&lt;200,A491-AY491&gt;9),OR(AND(A491&gt;75,X491="Final Handicap"),AND(A491&gt;25,X491="1st half Handicap")),OR(AND(BK491&gt;20,U491&lt;T491,E491&gt;45),AND(BK491&lt;-20,U491&gt;T491,E491&lt;55)))),"GOOD","")</f>
        <v/>
      </c>
      <c r="BS491" s="21"/>
    </row>
    <row r="492" spans="1:71" ht="17.25" x14ac:dyDescent="0.3">
      <c r="A492" s="3"/>
      <c r="D492" s="8" t="str">
        <f>IF(ISBLANK(T492),"",CONCATENATE(T492,"-",U492))</f>
        <v/>
      </c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>
        <f>IF(NOT(ISBLANK(G492)),ABS(G492),0)</f>
        <v>0</v>
      </c>
      <c r="BM492">
        <f>IF(NOT(ISBLANK(AK492)),ABS(AK492),0)</f>
        <v>0</v>
      </c>
      <c r="BN492">
        <f>IF(NOT(ISBLANK(AX492)),ABS(AX492),0)</f>
        <v>0</v>
      </c>
      <c r="BO492">
        <f>IF(NOT(ISBLANK(BK492)),ABS(BK492),0)</f>
        <v>0</v>
      </c>
      <c r="BP492">
        <f>IF(ISBLANK(E492),0,ABS(E492-50))</f>
        <v>0</v>
      </c>
      <c r="BQ492" s="21" t="str">
        <f>IF(OR(ISBLANK(V492),ISBLANK(W492)),"",IF(SUM(V492,W492)=0,"",CONCATENATE(V492,"-",W492)))</f>
        <v/>
      </c>
      <c r="BR492" s="21" t="str">
        <f>IF(OR(AND(OR(AND(A492&gt;75,X492="Final Handicap"),AND(A492&gt;25,X492="1st half Handicap")),OR(AND(G492&gt;20,U492&lt;T492,E492&gt;45),AND(G492&lt;-20,U492&gt;T492,E492&lt;55))),AND(AND(A492-Y492&lt;200,A492-Y492&gt;9),OR(AND(A492&gt;75,X492="Final Handicap"),AND(A492&gt;25,X492="1st half Handicap")),OR(AND(AK492&gt;20,U492&lt;T492,E492&gt;45),AND(AK492&lt;-20,U492&gt;T492,E492&lt;55))),AND(AND(A492-AL492&lt;200,A492-AL492&gt;9),OR(AND(A492&gt;75,X492="Final Handicap"),AND(A492&gt;25,X492="1st half Handicap")),OR(AND(AX492&gt;20,U492&lt;T492,E492&gt;45),AND(AX492&lt;-20,U492&gt;T492,E492&lt;55))),AND(AND(A492-AY492&lt;200,A492-AY492&gt;9),OR(AND(A492&gt;75,X492="Final Handicap"),AND(A492&gt;25,X492="1st half Handicap")),OR(AND(BK492&gt;20,U492&lt;T492,E492&gt;45),AND(BK492&lt;-20,U492&gt;T492,E492&lt;55)))),"GOOD","")</f>
        <v/>
      </c>
      <c r="BS492" s="21"/>
    </row>
    <row r="493" spans="1:71" ht="17.25" x14ac:dyDescent="0.3">
      <c r="A493" s="3"/>
      <c r="D493" s="8" t="str">
        <f>IF(ISBLANK(T493),"",CONCATENATE(T493,"-",U493))</f>
        <v/>
      </c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>
        <f>IF(NOT(ISBLANK(G493)),ABS(G493),0)</f>
        <v>0</v>
      </c>
      <c r="BM493">
        <f>IF(NOT(ISBLANK(AK493)),ABS(AK493),0)</f>
        <v>0</v>
      </c>
      <c r="BN493">
        <f>IF(NOT(ISBLANK(AX493)),ABS(AX493),0)</f>
        <v>0</v>
      </c>
      <c r="BO493">
        <f>IF(NOT(ISBLANK(BK493)),ABS(BK493),0)</f>
        <v>0</v>
      </c>
      <c r="BP493">
        <f>IF(ISBLANK(E493),0,ABS(E493-50))</f>
        <v>0</v>
      </c>
      <c r="BQ493" s="21" t="str">
        <f>IF(OR(ISBLANK(V493),ISBLANK(W493)),"",IF(SUM(V493,W493)=0,"",CONCATENATE(V493,"-",W493)))</f>
        <v/>
      </c>
      <c r="BR493" s="21" t="str">
        <f>IF(OR(AND(OR(AND(A493&gt;75,X493="Final Handicap"),AND(A493&gt;25,X493="1st half Handicap")),OR(AND(G493&gt;20,U493&lt;T493,E493&gt;45),AND(G493&lt;-20,U493&gt;T493,E493&lt;55))),AND(AND(A493-Y493&lt;200,A493-Y493&gt;9),OR(AND(A493&gt;75,X493="Final Handicap"),AND(A493&gt;25,X493="1st half Handicap")),OR(AND(AK493&gt;20,U493&lt;T493,E493&gt;45),AND(AK493&lt;-20,U493&gt;T493,E493&lt;55))),AND(AND(A493-AL493&lt;200,A493-AL493&gt;9),OR(AND(A493&gt;75,X493="Final Handicap"),AND(A493&gt;25,X493="1st half Handicap")),OR(AND(AX493&gt;20,U493&lt;T493,E493&gt;45),AND(AX493&lt;-20,U493&gt;T493,E493&lt;55))),AND(AND(A493-AY493&lt;200,A493-AY493&gt;9),OR(AND(A493&gt;75,X493="Final Handicap"),AND(A493&gt;25,X493="1st half Handicap")),OR(AND(BK493&gt;20,U493&lt;T493,E493&gt;45),AND(BK493&lt;-20,U493&gt;T493,E493&lt;55)))),"GOOD","")</f>
        <v/>
      </c>
      <c r="BS493" s="21"/>
    </row>
  </sheetData>
  <sortState xmlns:xlrd2="http://schemas.microsoft.com/office/spreadsheetml/2017/richdata2" ref="A2:BR500">
    <sortCondition descending="1" ref="BR1"/>
    <sortCondition descending="1" ref="BL1"/>
  </sortState>
  <mergeCells count="8">
    <mergeCell ref="BT9:BT11"/>
    <mergeCell ref="BU10:BX11"/>
    <mergeCell ref="BU12:BX12"/>
    <mergeCell ref="BU13:BX13"/>
    <mergeCell ref="BZ6:BZ7"/>
    <mergeCell ref="BZ8:BZ9"/>
    <mergeCell ref="BZ10:BZ11"/>
    <mergeCell ref="BU9:BX9"/>
  </mergeCells>
  <conditionalFormatting sqref="G2:G400">
    <cfRule type="colorScale" priority="80">
      <colorScale>
        <cfvo type="num" val="-50"/>
        <cfvo type="num" val="0"/>
        <cfvo type="num" val="50"/>
        <color rgb="FFF8696B"/>
        <color theme="0"/>
        <color rgb="FF63BE7B"/>
      </colorScale>
    </cfRule>
  </conditionalFormatting>
  <conditionalFormatting sqref="BQ2:BQ493">
    <cfRule type="notContainsBlanks" dxfId="5" priority="82">
      <formula>LEN(TRIM(BQ2))&gt;0</formula>
    </cfRule>
  </conditionalFormatting>
  <conditionalFormatting sqref="AK2:AK400">
    <cfRule type="colorScale" priority="6">
      <colorScale>
        <cfvo type="num" val="-50"/>
        <cfvo type="num" val="0"/>
        <cfvo type="num" val="50"/>
        <color rgb="FFF8696B"/>
        <color theme="0"/>
        <color rgb="FF63BE7B"/>
      </colorScale>
    </cfRule>
  </conditionalFormatting>
  <conditionalFormatting sqref="AX2:AX400">
    <cfRule type="colorScale" priority="5">
      <colorScale>
        <cfvo type="num" val="-50"/>
        <cfvo type="num" val="0"/>
        <cfvo type="num" val="50"/>
        <color rgb="FFF8696B"/>
        <color theme="0"/>
        <color rgb="FF63BE7B"/>
      </colorScale>
    </cfRule>
  </conditionalFormatting>
  <conditionalFormatting sqref="BK2:BK400">
    <cfRule type="colorScale" priority="3">
      <colorScale>
        <cfvo type="num" val="-50"/>
        <cfvo type="num" val="0"/>
        <cfvo type="num" val="50"/>
        <color rgb="FFF8696B"/>
        <color theme="0"/>
        <color rgb="FF63BE7B"/>
      </colorScale>
    </cfRule>
    <cfRule type="colorScale" priority="4">
      <colorScale>
        <cfvo type="num" val="-50"/>
        <cfvo type="num" val="0"/>
        <cfvo type="num" val="50"/>
        <color rgb="FFF8696B"/>
        <color theme="0"/>
        <color rgb="FF63BE7B"/>
      </colorScale>
    </cfRule>
  </conditionalFormatting>
  <conditionalFormatting sqref="D2:D493">
    <cfRule type="expression" dxfId="4" priority="2">
      <formula>$BQ2&lt;&gt;""</formula>
    </cfRule>
  </conditionalFormatting>
  <conditionalFormatting sqref="BR2:BS493">
    <cfRule type="notContainsBlanks" dxfId="3" priority="83">
      <formula>LEN(TRIM(BR2))&gt;0</formula>
    </cfRule>
  </conditionalFormatting>
  <conditionalFormatting sqref="A2:C500">
    <cfRule type="expression" dxfId="2" priority="14">
      <formula>OR(AND($E2&gt;60,$U2&gt;$T2),AND($E2&lt;40,$U2&lt;$T2))</formula>
    </cfRule>
    <cfRule type="expression" dxfId="1" priority="13">
      <formula>OR(AND($G2&gt;10,$U2&gt;$T2),AND($G2&lt;-10,$U2&lt;$T2))</formula>
    </cfRule>
    <cfRule type="expression" dxfId="0" priority="7">
      <formula>OR(AND($A2&gt;15,$U2&lt;=$T2,$G2&gt;20),AND($A2&gt;15,$U2&gt;=$T2,$G2&lt;-20))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Filipe Cunha</dc:creator>
  <cp:lastModifiedBy>Filipe Cunha</cp:lastModifiedBy>
  <dcterms:created xsi:type="dcterms:W3CDTF">2015-06-05T18:17:20Z</dcterms:created>
  <dcterms:modified xsi:type="dcterms:W3CDTF">2021-09-24T11:40:32Z</dcterms:modified>
</cp:coreProperties>
</file>